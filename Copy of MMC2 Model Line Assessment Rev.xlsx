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codeName="ThisWorkbook" defaultThemeVersion="202300"/>
  <mc:AlternateContent xmlns:mc="http://schemas.openxmlformats.org/markup-compatibility/2006">
    <mc:Choice Requires="x15">
      <x15ac:absPath xmlns:x15ac="http://schemas.microsoft.com/office/spreadsheetml/2010/11/ac" url="https://rockwellautomation-my.sharepoint.com/personal/angel_solis_rockwellautomation_com/Documents/Documents/Model Line/"/>
    </mc:Choice>
  </mc:AlternateContent>
  <xr:revisionPtr revIDLastSave="18" documentId="8_{D9CAFB31-B18F-4725-900B-2DB63719B968}" xr6:coauthVersionLast="47" xr6:coauthVersionMax="47" xr10:uidLastSave="{5BE4F15D-F3EB-42EC-BBFA-97A7CA606264}"/>
  <bookViews>
    <workbookView xWindow="-110" yWindow="-110" windowWidth="19420" windowHeight="10300" activeTab="4" xr2:uid="{9CDC8B8C-1927-4255-81AA-6090730F0A8A}"/>
  </bookViews>
  <sheets>
    <sheet name="Lists" sheetId="7" r:id="rId1"/>
    <sheet name="ROX 2.0 Evaluation" sheetId="2" r:id="rId2"/>
    <sheet name="ROX 2.0 Guide" sheetId="1" r:id="rId3"/>
    <sheet name="Model Line Mapping" sheetId="3" r:id="rId4"/>
    <sheet name="Model Line_Formatted_Print" sheetId="5" r:id="rId5"/>
    <sheet name="Scoring Guidelines" sheetId="4" r:id="rId6"/>
    <sheet name="Action Plan" sheetId="6" r:id="rId7"/>
    <sheet name="Audits" sheetId="9" r:id="rId8"/>
  </sheets>
  <definedNames>
    <definedName name="_xlnm._FilterDatabase" localSheetId="3" hidden="1">'Model Line Mapping'!$D$1:$D$31</definedName>
    <definedName name="Business_Unit">Lists!$A$2:$A$1048576</definedName>
    <definedName name="IDB">Lists!$B$2:$B$1048576</definedName>
    <definedName name="LCS">Lists!$C$2:$C$1048576</definedName>
    <definedName name="LVMCC">Lists!$D$2:$D$1048576</definedName>
    <definedName name="LVP">Lists!$E$2:$E$1048576</definedName>
    <definedName name="MyGraph">#REF!</definedName>
    <definedName name="MyRange">#REF!</definedName>
    <definedName name="_xlnm.Print_Area" localSheetId="4">'Model Line_Formatted_Print'!$A$1:$I$35</definedName>
    <definedName name="_xlnm.Print_Area" localSheetId="1">'ROX 2.0 Evaluation'!$A$1:$J$55</definedName>
    <definedName name="XXX">#REF!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31" i="5" l="1"/>
  <c r="G31" i="5"/>
  <c r="H27" i="5"/>
  <c r="G27" i="5"/>
  <c r="G23" i="5"/>
  <c r="G22" i="5"/>
  <c r="G14" i="5"/>
  <c r="G6" i="5"/>
  <c r="H23" i="5" l="1"/>
  <c r="H6" i="5"/>
  <c r="H14" i="5"/>
  <c r="H22" i="5"/>
  <c r="E33" i="5"/>
  <c r="H33" i="5" l="1"/>
  <c r="K44" i="6" l="1"/>
  <c r="K43" i="6"/>
  <c r="K42" i="6"/>
  <c r="K41" i="6"/>
  <c r="K40" i="6"/>
  <c r="K39" i="6"/>
  <c r="K38" i="6"/>
  <c r="K37" i="6"/>
  <c r="K36" i="6"/>
  <c r="K35" i="6"/>
  <c r="K34" i="6"/>
  <c r="K33" i="6"/>
  <c r="K32" i="6"/>
  <c r="K31" i="6"/>
  <c r="K30" i="6"/>
  <c r="K29" i="6"/>
  <c r="K28" i="6"/>
  <c r="K27" i="6"/>
  <c r="K26" i="6"/>
  <c r="K25" i="6"/>
  <c r="K24" i="6"/>
  <c r="K23" i="6"/>
  <c r="K22" i="6"/>
  <c r="K21" i="6"/>
  <c r="K20" i="6"/>
  <c r="K19" i="6"/>
  <c r="K18" i="6"/>
  <c r="K17" i="6"/>
  <c r="K16" i="6"/>
  <c r="K15" i="6"/>
  <c r="K14" i="6"/>
  <c r="K13" i="6"/>
  <c r="K12" i="6"/>
  <c r="K11" i="6"/>
  <c r="K10" i="6"/>
  <c r="K9" i="6"/>
  <c r="K8" i="6"/>
  <c r="K7" i="6"/>
  <c r="K6" i="6"/>
  <c r="K5" i="6"/>
  <c r="K4" i="6"/>
  <c r="K3" i="6"/>
  <c r="K2" i="6"/>
</calcChain>
</file>

<file path=xl/sharedStrings.xml><?xml version="1.0" encoding="utf-8"?>
<sst xmlns="http://schemas.openxmlformats.org/spreadsheetml/2006/main" count="591" uniqueCount="344">
  <si>
    <t>"LEAN Foundations"  Self Evaluation - Manufacturing Operations Plants</t>
  </si>
  <si>
    <r>
      <rPr>
        <b/>
        <sz val="18"/>
        <color rgb="FFFFFFFF"/>
        <rFont val="Aptos Narrow"/>
        <family val="2"/>
        <scheme val="minor"/>
      </rPr>
      <t>Hoshin</t>
    </r>
    <r>
      <rPr>
        <b/>
        <sz val="18"/>
        <color rgb="FF0070C0"/>
        <rFont val="Aptos Narrow"/>
        <family val="2"/>
        <scheme val="minor"/>
      </rPr>
      <t xml:space="preserve"> Stratetic</t>
    </r>
    <r>
      <rPr>
        <b/>
        <sz val="18"/>
        <color rgb="FFFFFFFF"/>
        <rFont val="Aptos Narrow"/>
        <family val="2"/>
        <scheme val="minor"/>
      </rPr>
      <t xml:space="preserve"> Planning</t>
    </r>
  </si>
  <si>
    <t>Level 1</t>
  </si>
  <si>
    <t>Level 2</t>
  </si>
  <si>
    <t>Level 3</t>
  </si>
  <si>
    <r>
      <t xml:space="preserve">Hoshin planning workshop has been completed to perform next fiscal year strategic planning by plant leadership </t>
    </r>
    <r>
      <rPr>
        <sz val="18"/>
        <color rgb="FF0070C0"/>
        <rFont val="Barlow"/>
      </rPr>
      <t>team and AIPs and TTIs are defined.</t>
    </r>
  </si>
  <si>
    <t>N</t>
  </si>
  <si>
    <t>All AIPs have a detailed action plan with owners, dates and, it is connected to workday goals and objectives</t>
  </si>
  <si>
    <t>Global functions are engaged for AIPs action plan execution (as needed)</t>
  </si>
  <si>
    <t>Hoshin plan has been communicated, and goals have been cascaded at departmental level</t>
  </si>
  <si>
    <r>
      <rPr>
        <sz val="18"/>
        <color rgb="FF000000"/>
        <rFont val="Barlow"/>
      </rPr>
      <t xml:space="preserve">Hoshin plan execution reviews happen on monthly basis, </t>
    </r>
    <r>
      <rPr>
        <sz val="18"/>
        <color rgb="FF0070C0"/>
        <rFont val="Barlow"/>
      </rPr>
      <t>actions behind schedule have countermeasures in place to get back on track</t>
    </r>
  </si>
  <si>
    <t>Hoshin plan AIP status is visual and accessible  for all employees</t>
  </si>
  <si>
    <t>Manufacturing Operating Rhythm</t>
  </si>
  <si>
    <t>MOR tiers cover Safety Quality Delivery Cost People</t>
  </si>
  <si>
    <t>Plant has established daily and weekly tiers into their MOR</t>
  </si>
  <si>
    <t>Plant has established quarterly tiers into their MOR</t>
  </si>
  <si>
    <t>Feedback is part of MOR including countermeasures and recognition</t>
  </si>
  <si>
    <t>High Performance Teams are in place, driving ownership, accountability, and engagement at the plant level</t>
  </si>
  <si>
    <t>Plant has a MOR Calendar created for Plant leadership team and functional area/role</t>
  </si>
  <si>
    <t>Gemba Walk</t>
  </si>
  <si>
    <r>
      <t>Establish Gemba board at key stations,</t>
    </r>
    <r>
      <rPr>
        <sz val="18"/>
        <color rgb="FF0070C0"/>
        <rFont val="Barlow"/>
      </rPr>
      <t xml:space="preserve"> includes metrics that matter for SQDCP and data is current</t>
    </r>
  </si>
  <si>
    <r>
      <t xml:space="preserve">Plant has daily leadership Gemba walks </t>
    </r>
    <r>
      <rPr>
        <sz val="18"/>
        <color rgb="FF0070C0"/>
        <rFont val="Barlow"/>
      </rPr>
      <t>and action is taken from findings</t>
    </r>
  </si>
  <si>
    <t>Gemba walk process is continually revised and updated to be effective and efficient.</t>
  </si>
  <si>
    <t>Leadership Gemba route and checklist are defined</t>
  </si>
  <si>
    <t>Associates are engaged during Gemba walks</t>
  </si>
  <si>
    <t>Multiple types of Gemba walks are described in the MOR and are being conducted in the plant.</t>
  </si>
  <si>
    <t xml:space="preserve">5S Program </t>
  </si>
  <si>
    <t>5s roles and responsibilities in the plant are defined and assigned</t>
  </si>
  <si>
    <r>
      <t>Audit program has been created u</t>
    </r>
    <r>
      <rPr>
        <sz val="18"/>
        <color rgb="FF0070C0"/>
        <rFont val="Barlow"/>
      </rPr>
      <t>sing documented standards (5s guides, 5S post-event photos)</t>
    </r>
  </si>
  <si>
    <t>5S have been implemented in at least 80% of production areas and audit results show positive  improvement trend</t>
  </si>
  <si>
    <t>5S implementation plan exist and is being executed</t>
  </si>
  <si>
    <t>5S Audits are taking place on monthly basis and findings are addressed</t>
  </si>
  <si>
    <t>5S is being implemented is non-production areas (MRB, Warehouse, Offices, Shipping/Receiving)</t>
  </si>
  <si>
    <t>Lean Training</t>
  </si>
  <si>
    <r>
      <rPr>
        <sz val="18"/>
        <color rgb="FF000000"/>
        <rFont val="Barlow"/>
      </rPr>
      <t xml:space="preserve">Lean basics training plan is defined </t>
    </r>
    <r>
      <rPr>
        <sz val="18"/>
        <color rgb="FF0070C0"/>
        <rFont val="Barlow"/>
      </rPr>
      <t>and being executed</t>
    </r>
  </si>
  <si>
    <r>
      <rPr>
        <sz val="18"/>
        <color rgb="FF0070C0"/>
        <rFont val="Barlow"/>
      </rPr>
      <t xml:space="preserve">Lean basics training has been completed by at least </t>
    </r>
    <r>
      <rPr>
        <b/>
        <sz val="18"/>
        <color rgb="FF0070C0"/>
        <rFont val="Barlow"/>
      </rPr>
      <t>60%</t>
    </r>
    <r>
      <rPr>
        <sz val="18"/>
        <color rgb="FF0070C0"/>
        <rFont val="Barlow"/>
      </rPr>
      <t xml:space="preserve"> of employees with more than 6 months on the company</t>
    </r>
  </si>
  <si>
    <r>
      <rPr>
        <sz val="18"/>
        <color rgb="FF0070C0"/>
        <rFont val="Barlow"/>
      </rPr>
      <t>Lean basics certification has been achieved by</t>
    </r>
    <r>
      <rPr>
        <b/>
        <sz val="18"/>
        <color rgb="FF0070C0"/>
        <rFont val="Barlow"/>
      </rPr>
      <t xml:space="preserve"> at least 30%</t>
    </r>
    <r>
      <rPr>
        <sz val="18"/>
        <color rgb="FF0070C0"/>
        <rFont val="Barlow"/>
      </rPr>
      <t xml:space="preserve"> of employees.</t>
    </r>
  </si>
  <si>
    <t>All Salary employees with more than 6 months have completed Yellow belt on demand training</t>
  </si>
  <si>
    <r>
      <rPr>
        <b/>
        <sz val="18"/>
        <color rgb="FF0070C0"/>
        <rFont val="Barlow"/>
      </rPr>
      <t xml:space="preserve">Yellow belt (or higher level belt) certification has been achieved by at least 50% </t>
    </r>
    <r>
      <rPr>
        <sz val="18"/>
        <color rgb="FF0070C0"/>
        <rFont val="Barlow"/>
      </rPr>
      <t>of salary employees</t>
    </r>
  </si>
  <si>
    <r>
      <t xml:space="preserve">Plant has created a plan to expand the lean skills through Lean Bronze/GB/BB and </t>
    </r>
    <r>
      <rPr>
        <b/>
        <sz val="18"/>
        <color rgb="FF0070C0"/>
        <rFont val="Barlow"/>
      </rPr>
      <t xml:space="preserve">80% </t>
    </r>
    <r>
      <rPr>
        <sz val="18"/>
        <color rgb="FF0070C0"/>
        <rFont val="Barlow"/>
      </rPr>
      <t>of salary employees have completed Yellow Belt  (or higher level belt) Certification</t>
    </r>
  </si>
  <si>
    <t>Problem Solving</t>
  </si>
  <si>
    <t>General Problem-Solving training has been introduced to plant leadership including Problem solvers guide.</t>
  </si>
  <si>
    <t>Problem Solving training plan is being executed</t>
  </si>
  <si>
    <t>Recurrent problems are reduced and SQDCP performance is improving</t>
  </si>
  <si>
    <t>Training plan is defined for needed problem solving methodologies (A3, 8D, MAAR, GB, BB)</t>
  </si>
  <si>
    <t>Problem Solving certification projects are identified in alignment with hoshin priorities</t>
  </si>
  <si>
    <t>Problem solving certifications rate are trending positive</t>
  </si>
  <si>
    <t>Problem solver trainers and coaches  are identified</t>
  </si>
  <si>
    <t>Plant problem solving coaches have established a regular cadence for coaching sessions.</t>
  </si>
  <si>
    <t xml:space="preserve">Problem solving projects are leveraging technology (i.e., AI, Robotics and ROK on ROK, FTPC, etc.)  </t>
  </si>
  <si>
    <t>Suggestion System</t>
  </si>
  <si>
    <t xml:space="preserve">Suggestion system promotes ideas in all SQDCP </t>
  </si>
  <si>
    <t>Plant has a suggestion system in place reviewing and providing feedback within one month.</t>
  </si>
  <si>
    <t>Suggestion system is providing feedback within three weeks.</t>
  </si>
  <si>
    <t>Plant has a method to continuously reinforce waste identification and how to add ideas in Suggestion System</t>
  </si>
  <si>
    <t>Recognition system in place for suggestion system</t>
  </si>
  <si>
    <t>Plant established a monitoring system for people participation and implementation rates</t>
  </si>
  <si>
    <t>Process mapping</t>
  </si>
  <si>
    <t>Plant has identified and prioritized processes to map using prioritization tool</t>
  </si>
  <si>
    <t>Plant has started to use the prioritized process maps to create or update one (1) PFMEA, showing quality risk reduction</t>
  </si>
  <si>
    <t>Plant has a plan to create or update PFMEA and VSM for all prioritized processes</t>
  </si>
  <si>
    <t xml:space="preserve">Prioritized processes have process flow maps completed </t>
  </si>
  <si>
    <t>VSM workshop has been completed for one (1) prioritized process mapped, showing business results.</t>
  </si>
  <si>
    <r>
      <rPr>
        <b/>
        <sz val="18"/>
        <color rgb="FFFFFFFF"/>
        <rFont val="Aptos Narrow"/>
        <family val="2"/>
        <scheme val="minor"/>
      </rPr>
      <t>Kaizen</t>
    </r>
    <r>
      <rPr>
        <b/>
        <sz val="18"/>
        <color rgb="FF0070C0"/>
        <rFont val="Aptos Narrow"/>
        <family val="2"/>
        <scheme val="minor"/>
      </rPr>
      <t xml:space="preserve"> Culture</t>
    </r>
  </si>
  <si>
    <t>Plant has identified and trained  kaizen leaders</t>
  </si>
  <si>
    <t>Leadership and staff participate in kaizen efforts</t>
  </si>
  <si>
    <t>Kaizen efforts drive meaningful, well-documented improvements reflected in KPIs driving AIP goals</t>
  </si>
  <si>
    <t>Plant has created a plan for kaizen events aligned with hoshin priorities</t>
  </si>
  <si>
    <t>Kaizen events are taking place according to defined plan</t>
  </si>
  <si>
    <t>Plant is actively sharing kaizen activity, lessons learned and results.</t>
  </si>
  <si>
    <t>Metrics that matter</t>
  </si>
  <si>
    <t>Plant management team has been trained and understands  ISC top metrics that matter for the fiscal year</t>
  </si>
  <si>
    <t>Plant has an active BBS program, providing feedback and actions are taking place</t>
  </si>
  <si>
    <t xml:space="preserve">Plant is meeting the ISC top objective of Safety RCR </t>
  </si>
  <si>
    <t>There is a clear connection between ISC metrics that matter and plant scorecard</t>
  </si>
  <si>
    <t>Plant Top Scrap $ and MRB Inventory Value $ items have Improvement initiatives identified and resourced. PTD#s available for savings</t>
  </si>
  <si>
    <t>Plant is meeting the ISC top objective of Cost of Poor Quality</t>
  </si>
  <si>
    <t>Prioritized metrics are communicated and explained to all levels using all employee meetings</t>
  </si>
  <si>
    <t>Problem solving cycles for non meeting KPIs are in place.
Standard plants are using CLOS and ETO plants are using PLEX where applicable, following global standard work (Module market place, Planning Playbook, Power BI's)</t>
  </si>
  <si>
    <t>Plant is meeting the ISC top objective of Customer Service</t>
  </si>
  <si>
    <t>Productivity Pipeline MOR is in place and loaded in PTD, with all projects &gt;100K having a 4up attached</t>
  </si>
  <si>
    <t>Plant is meeting the ISC top objective of Cost Innovation</t>
  </si>
  <si>
    <t>Plants are active and up to date on Inventory health-checks</t>
  </si>
  <si>
    <t>Plant is meeting the ISC top objective of Inventory</t>
  </si>
  <si>
    <t>Implementation Phase</t>
  </si>
  <si>
    <t>Feedback</t>
  </si>
  <si>
    <t>Model Line Criteria</t>
  </si>
  <si>
    <r>
      <rPr>
        <sz val="11"/>
        <color theme="5"/>
        <rFont val="Aptos Narrow"/>
        <family val="2"/>
        <scheme val="minor"/>
      </rPr>
      <t>Orange = Inconsistent Language</t>
    </r>
    <r>
      <rPr>
        <sz val="11"/>
        <color theme="1"/>
        <rFont val="Calibri"/>
        <family val="2"/>
      </rPr>
      <t xml:space="preserve">
</t>
    </r>
    <r>
      <rPr>
        <sz val="11"/>
        <color theme="9"/>
        <rFont val="Aptos Narrow"/>
        <family val="2"/>
        <scheme val="minor"/>
      </rPr>
      <t>Green = Match</t>
    </r>
  </si>
  <si>
    <t>Yes JCMS No ASC</t>
  </si>
  <si>
    <t>Notes</t>
  </si>
  <si>
    <t>Yes ASC no JCMS</t>
  </si>
  <si>
    <t>4. Value Stream Mapping</t>
  </si>
  <si>
    <t>1.2 Value Stream Mapping</t>
  </si>
  <si>
    <t xml:space="preserve">Current / Future / Ideal State VSMs have been created by visually observing and documenting the current state. Updates to the VSMs are dated and the most recent update is easy to find. VSM is used to identify and prioritize Kaizen opportunities which are also identified on the VSM with starbursts + Kaizen wall or funnel. </t>
  </si>
  <si>
    <r>
      <t>Value stream map (VSM) analysis is current and actively used to identify and prioritize Kaizens. Include bottlenecks, current state/future state, roadmap plan, recent Kaizens.</t>
    </r>
    <r>
      <rPr>
        <b/>
        <sz val="10"/>
        <color theme="5"/>
        <rFont val="Aptos Narrow"/>
        <family val="2"/>
        <scheme val="minor"/>
      </rPr>
      <t xml:space="preserve"> (VSM with star bursts + Kaizen wall or funnel) </t>
    </r>
  </si>
  <si>
    <t>8. Standard Work</t>
  </si>
  <si>
    <t>1.4 Standardized Work</t>
  </si>
  <si>
    <t xml:space="preserve">Standard work/ODS follow a clear and consistent template. Time Study sheet, Standard Work sheet, Value add sheet are completed, visible, and actively used on the line for Kaizen improvement. Process exists to update, communicate, and document training relative to standard work changes.  This includes updates following kaizen events, ECNs, etc. </t>
  </si>
  <si>
    <t>6. Kaizen</t>
  </si>
  <si>
    <t>1.5 Material Flow</t>
  </si>
  <si>
    <r>
      <rPr>
        <b/>
        <sz val="10"/>
        <color theme="5"/>
        <rFont val="Aptos Narrow"/>
        <family val="2"/>
        <scheme val="minor"/>
      </rPr>
      <t xml:space="preserve">Pull Flow established - </t>
    </r>
    <r>
      <rPr>
        <sz val="10"/>
        <color theme="5"/>
        <rFont val="Aptos Narrow"/>
        <family val="2"/>
        <scheme val="minor"/>
      </rPr>
      <t xml:space="preserve">The production line has a simple and clear visual flow from raw materials to final acceptance. The line has a posted sequenced schedule and staging areas align with the sequence. There is an evident visual single piece flow pull-system or small-batch. </t>
    </r>
  </si>
  <si>
    <t>These are swapped</t>
  </si>
  <si>
    <t>WIP has been calculated for materials to optimize flow and minimize overproduction.  WIP locations are clearly identified with min/max quantities, replenished with Kanban/kitting, and meets 5S standards.</t>
  </si>
  <si>
    <t>3. Daily Management</t>
  </si>
  <si>
    <t>2.0 Foundations</t>
  </si>
  <si>
    <t>2.3 Visual Factory, 5S, Waste Elimination</t>
  </si>
  <si>
    <t xml:space="preserve">Visual Management (5S) standards are defined and consistently implemented. 5S audit scores are tracked and trending positively. </t>
  </si>
  <si>
    <t>2. 5S</t>
  </si>
  <si>
    <t>NO ASC</t>
  </si>
  <si>
    <t>Layout Optimization - overall map showing material flow through the area is posted. Waste opportunities have been recognized and plan is created to eliminate.</t>
  </si>
  <si>
    <t>2.4 Daily Management</t>
  </si>
  <si>
    <t xml:space="preserve">Current &amp; Trended Line metrics, with defined targets, are posted at the CCC (Safety, Quality, Delivery, Costs ) and show positive trending improvement. </t>
  </si>
  <si>
    <t xml:space="preserve">Daily shift Cell Control Center meetings are held with operators and include discussion of Safety, Quality, Delivery, Production Target performance, Schedule changes. Staffing to meet Takt time, Idea Generation, etc. Standard work is posted. </t>
  </si>
  <si>
    <t>2.5 Maintenance Management</t>
  </si>
  <si>
    <t>Pareto of key (top 80%) of failure modes is visible at the CCC, updated weekly, and linked to a quality improvement plan. Top issues have been escalated to the PCC level for support.</t>
  </si>
  <si>
    <t>3.3 Leader Standard Work</t>
  </si>
  <si>
    <t xml:space="preserve">Daily, weekly, and monthly preventative maintenance tasks are defined for operators and/or maintenance staff. Maintenance Standard Work is available at the equipment. </t>
  </si>
  <si>
    <t>4.1 High Performance Teams</t>
  </si>
  <si>
    <t xml:space="preserve">HPT Basic - Site has defined structure, leadership has completed training, OHI scores measured with action plans, a reward/recognition process is in place but not regularly used, and production teams understand their support structure. </t>
  </si>
  <si>
    <t xml:space="preserve">An idea generation process exists to capture/review/prioritize/implement employee ideas. Ideas demonstrate evidence of improved line performance. Options: PCC/BCC/Kaizen wall/ Kaizen Funnel, Obeya etc. </t>
  </si>
  <si>
    <t>5.1 Risk Assessment and Hazard Identification</t>
  </si>
  <si>
    <t>An operator cross-training matrix, and training plan with defined trainers, posted at the CCC with 2+ employees trained on each process.</t>
  </si>
  <si>
    <r>
      <rPr>
        <b/>
        <sz val="10"/>
        <color theme="1"/>
        <rFont val="Aptos Narrow"/>
        <family val="2"/>
        <scheme val="minor"/>
      </rPr>
      <t>5.1 Risk Assessment and Hazard Identification</t>
    </r>
    <r>
      <rPr>
        <sz val="10"/>
        <color theme="1"/>
        <rFont val="Aptos Narrow"/>
        <family val="2"/>
        <scheme val="minor"/>
      </rPr>
      <t xml:space="preserve">
• A job inventory has been created and documented to identify all routine (regular) and non-routine (irregular) jobs / tasks.
• A risk assessment that determines probability and severity with control measures has been initiated.
• ODS documentation identifies safety risks and mitigation activities. 
• Employees understand risks associated with the tasks they are performing and actions they can take to mitigate the risks identified. 
• Employees understand why controls are in place including PPE, two hand controls, light curtains, guards, etc. and take responsibility for ensuring proper working order prior to performing work.
• Employees are aware of the highest risks within their work area and the plant. They can share improvements they have experienced and ideas they have submitted.</t>
    </r>
  </si>
  <si>
    <t>JSAs created, updated, and accessible for each workstation.</t>
  </si>
  <si>
    <t>5.4 Ergonomics</t>
  </si>
  <si>
    <t xml:space="preserve">Machine guarding is in place, LOTO placards posted on equipment, and permanent electrical installations. </t>
  </si>
  <si>
    <t>Appropriate waste containers are in place, considering segregation and recycling. Waste management plan and relevant complaince calender are in place. Scheduled actions are displayed at the line.</t>
  </si>
  <si>
    <t>6.1 Design and Launch</t>
  </si>
  <si>
    <t>Appropriate waste containers in place, considering segregation and recycling. Waste management plan in place.</t>
  </si>
  <si>
    <r>
      <rPr>
        <b/>
        <sz val="10"/>
        <color theme="1"/>
        <rFont val="Aptos Narrow"/>
        <family val="2"/>
        <scheme val="minor"/>
      </rPr>
      <t>5.1 Risk Assessment and Hazard Identification</t>
    </r>
    <r>
      <rPr>
        <sz val="10"/>
        <color theme="1"/>
        <rFont val="Aptos Narrow"/>
        <family val="2"/>
        <scheme val="minor"/>
      </rPr>
      <t xml:space="preserve">
 Risk assessment is included in the new product design phase to reduce hazards proactively including safety, health, environment, and ergonomics. Site is able to share examples of risk reduction by working collaboratively within the design and integration processes.
</t>
    </r>
    <r>
      <rPr>
        <b/>
        <sz val="10"/>
        <color theme="1"/>
        <rFont val="Aptos Narrow"/>
        <family val="2"/>
        <scheme val="minor"/>
      </rPr>
      <t xml:space="preserve">
5.4 Ergonomics</t>
    </r>
    <r>
      <rPr>
        <sz val="10"/>
        <color theme="1"/>
        <rFont val="Aptos Narrow"/>
        <family val="2"/>
        <scheme val="minor"/>
      </rPr>
      <t xml:space="preserve">
• Ergonomics has been included in the plant risk assessment process. 
• Site has an early reporting process for any potential musculoskeletal injuries that includes care and escalation if needed. 
• Ergonomics training including awareness, lifting best practices, notification/escalation and idea submission is included in the annual training matrix and all employees have completed the training.
• Ergonomics training has been completed with engineering, safety, and lean leaders. Training included project identification and improvement (kaizen) activities in the plant.
• Employee focus groups/committees for EHSS understand the fundamentals of ergonomics, identify opportunities, and help define solutions with their peers.
• Ergonomic evaluations are included in NPI activities including the design for manufacturing processes to proactively identify and mitigate risks. Team can share examples of collaborative ergonomics improvements during the NPI process.</t>
    </r>
  </si>
  <si>
    <t>6.2 Process Planning and Verification</t>
  </si>
  <si>
    <t>Workstation specific stretching program in place. Ergonomic assessment has been completed and addressed.</t>
  </si>
  <si>
    <t>6.4 Manufacturing Quality</t>
  </si>
  <si>
    <t xml:space="preserve">Control Plan is updated and available for the work stations.  Visual work instructions include references to the control plan as well as medium/high risks identified on the PFMEA. </t>
  </si>
  <si>
    <t>7.4 Production Scheduling and Control</t>
  </si>
  <si>
    <t>Simple Problem Solving or 8D methodology is used to resolve top issues indicated by line metrics and significant internal and external customer issues.</t>
  </si>
  <si>
    <t>9.5 Resource Planning</t>
  </si>
  <si>
    <t>Nonconforming material is properly identified, segregated, and disposition is done in a timely manner (under 1 weekly).</t>
  </si>
  <si>
    <t xml:space="preserve">A visual production plan (Quarter, weekly, daily) exists at the CCC, is level loaded/sequenced, updated at a defined frequency with Plan vs. Target, and followed by the line. Sequenced schedule. Daily management  Schedule attainment in place. </t>
  </si>
  <si>
    <r>
      <rPr>
        <b/>
        <sz val="10"/>
        <color theme="1"/>
        <rFont val="Aptos Narrow"/>
        <family val="2"/>
        <scheme val="minor"/>
      </rPr>
      <t>1.3 Lean Transformation</t>
    </r>
    <r>
      <rPr>
        <sz val="10"/>
        <color theme="1"/>
        <rFont val="Aptos Narrow"/>
        <family val="2"/>
        <scheme val="minor"/>
      </rPr>
      <t xml:space="preserve">
• Plant production is clearly linked to customer pull minimizing systemic waste. S&amp;OE, S&amp;OP, and Production Plan is clearly linked to customer pull. 
</t>
    </r>
    <r>
      <rPr>
        <b/>
        <sz val="10"/>
        <color theme="1"/>
        <rFont val="Aptos Narrow"/>
        <family val="2"/>
        <scheme val="minor"/>
      </rPr>
      <t>7.2 Master Scheduling</t>
    </r>
    <r>
      <rPr>
        <sz val="10"/>
        <color theme="1"/>
        <rFont val="Aptos Narrow"/>
        <family val="2"/>
        <scheme val="minor"/>
      </rPr>
      <t xml:space="preserve">
• Master schedule is sequenced to optimize flow and balance production to efficiently use all assets and resources. Site tracks execution to sequenced plan.
• Site updates master planning constraints resulting from process improvement activities (example multi_x0002_team Kaizen events, etc.) or improved data analysis from constraint areas.
• Schedule adherence to production plan is measured in linearity (build the right products on the right day) and sequence (build the products in the right order) based on the daily line up. Performance is tracked at PCC board
</t>
    </r>
    <r>
      <rPr>
        <b/>
        <sz val="10"/>
        <color theme="1"/>
        <rFont val="Aptos Narrow"/>
        <family val="2"/>
        <scheme val="minor"/>
      </rPr>
      <t>7.4 Production Scheduling and Control</t>
    </r>
    <r>
      <rPr>
        <sz val="10"/>
        <color theme="1"/>
        <rFont val="Aptos Narrow"/>
        <family val="2"/>
        <scheme val="minor"/>
      </rPr>
      <t xml:space="preserve">
• Schedule attainment to the production plan is measured daily and robust action plans exist to optimize output based on current state. Attainment is &gt;95%</t>
    </r>
  </si>
  <si>
    <t xml:space="preserve">A visual production plan exists at the CCC, is level loaded/sequenced, updated at a defined frequency with Plan vs. Target, and followed by the line. Schedule attainment is being tracked. </t>
  </si>
  <si>
    <t>Manpower status/shift staffing for the production Day/Week is defined and posted at the CCC.</t>
  </si>
  <si>
    <t>I think these are combined and accounted for</t>
  </si>
  <si>
    <t>When demand or staffing changes occur, an alternative plan is documented with defined alternate run rates &amp; staffing requirements.</t>
  </si>
  <si>
    <t>Model Line / Cell Assessment &amp; Scoring Guidelines</t>
  </si>
  <si>
    <t>Doesn’t Meet Minimum Requirement</t>
  </si>
  <si>
    <t>Early</t>
  </si>
  <si>
    <t>Developing</t>
  </si>
  <si>
    <t>Established</t>
  </si>
  <si>
    <r>
      <t xml:space="preserve">• </t>
    </r>
    <r>
      <rPr>
        <b/>
        <sz val="12"/>
        <rFont val="Aptos Narrow"/>
        <family val="2"/>
        <scheme val="minor"/>
      </rPr>
      <t>None or Few</t>
    </r>
    <r>
      <rPr>
        <sz val="12"/>
        <rFont val="Aptos Narrow"/>
        <family val="2"/>
        <scheme val="minor"/>
      </rPr>
      <t xml:space="preserve"> </t>
    </r>
    <r>
      <rPr>
        <i/>
        <sz val="12"/>
        <rFont val="Aptos Narrow"/>
        <family val="2"/>
        <scheme val="minor"/>
      </rPr>
      <t xml:space="preserve">(estimated as </t>
    </r>
    <r>
      <rPr>
        <b/>
        <i/>
        <sz val="12"/>
        <rFont val="Aptos Narrow"/>
        <family val="2"/>
        <scheme val="minor"/>
      </rPr>
      <t>approximately</t>
    </r>
    <r>
      <rPr>
        <i/>
        <sz val="12"/>
        <rFont val="Aptos Narrow"/>
        <family val="2"/>
        <scheme val="minor"/>
      </rPr>
      <t xml:space="preserve"> equal to or less than 20%*)</t>
    </r>
    <r>
      <rPr>
        <sz val="12"/>
        <rFont val="Aptos Narrow"/>
        <family val="2"/>
        <scheme val="minor"/>
      </rPr>
      <t xml:space="preserve"> Standards of the Criteria are defined and/or followed, or standards are unclear.</t>
    </r>
  </si>
  <si>
    <r>
      <t xml:space="preserve">• </t>
    </r>
    <r>
      <rPr>
        <b/>
        <sz val="12"/>
        <rFont val="Aptos Narrow"/>
        <family val="2"/>
        <scheme val="minor"/>
      </rPr>
      <t>Some</t>
    </r>
    <r>
      <rPr>
        <sz val="12"/>
        <rFont val="Aptos Narrow"/>
        <family val="2"/>
        <scheme val="minor"/>
      </rPr>
      <t xml:space="preserve"> (estimated as </t>
    </r>
    <r>
      <rPr>
        <b/>
        <i/>
        <sz val="12"/>
        <rFont val="Aptos Narrow"/>
        <family val="2"/>
        <scheme val="minor"/>
      </rPr>
      <t>approximately</t>
    </r>
    <r>
      <rPr>
        <sz val="12"/>
        <rFont val="Aptos Narrow"/>
        <family val="2"/>
        <scheme val="minor"/>
      </rPr>
      <t xml:space="preserve"> 20-80%*)  standards of the criteria are defined and followed, or recently developed.  Some gaps or variation are evident.</t>
    </r>
  </si>
  <si>
    <t>•  Standards for criteria are clearly defined, understood, and followed without significant gaps or variation.</t>
  </si>
  <si>
    <t>• Minimal evidence of criteria and/or significant gaps in implementation.</t>
  </si>
  <si>
    <t>•  Criteria is applied and evident. Implementation may have some gaps or variation in consistency across the area.</t>
  </si>
  <si>
    <t>• Clear visible evidence of criteria. Consistent implementation throughout the area, without significant gaps or variation.</t>
  </si>
  <si>
    <t xml:space="preserve">• Lack of evidence for sustainable implementation. Lack of standards or systematic process. Inconsistent use of criteria. </t>
  </si>
  <si>
    <t>• Criteria and implementation has defined standards or process for sustainability with evidence of being followed; some gaps or variation exists.</t>
  </si>
  <si>
    <t xml:space="preserve">• Evidence the criteria is consistently followed/sustained (minimum 3-months). Criteria has a process/system to ensure sustainability, without significant gaps or variation. </t>
  </si>
  <si>
    <t xml:space="preserve">• Minimal or inconsistent evidence of metrics/measurements/data. Lacks trends and performance results. </t>
  </si>
  <si>
    <t>• Some metrics/measurements/data exist. Performance shows early trends. Some gaps observed (in data, performance, targets, actions, plan).</t>
  </si>
  <si>
    <r>
      <t xml:space="preserve">• Established metrics/measurements/data collection process. Targets are defined with actions/plans to achieve. Improving performance results. </t>
    </r>
    <r>
      <rPr>
        <b/>
        <sz val="12"/>
        <color rgb="FFC00000"/>
        <rFont val="Aptos Narrow"/>
        <family val="2"/>
        <scheme val="minor"/>
      </rPr>
      <t>Minimum 3-months trending data.</t>
    </r>
    <r>
      <rPr>
        <sz val="12"/>
        <rFont val="Aptos Narrow"/>
        <family val="2"/>
        <scheme val="minor"/>
      </rPr>
      <t xml:space="preserve">  Minimal gaps or variation in data collection process and performance results.</t>
    </r>
  </si>
  <si>
    <t>*Do not seek exact evidence to quantify this value - base your assessment on your approximation of coverage.</t>
  </si>
  <si>
    <t>Model Line / Cell Requirements</t>
  </si>
  <si>
    <t>The Purpose of Multi-Dimensional Scoring is:</t>
  </si>
  <si>
    <t>Rigor of Implementation</t>
  </si>
  <si>
    <t>Consistency of Criteria</t>
  </si>
  <si>
    <t xml:space="preserve">Minimum Score of (3) in Key Criteria </t>
  </si>
  <si>
    <t>Bronze Level</t>
  </si>
  <si>
    <t>Future Sustainability</t>
  </si>
  <si>
    <t>Certification Score = or &gt;108</t>
  </si>
  <si>
    <t>Silver Level</t>
  </si>
  <si>
    <t>Ability to Achieve Results</t>
  </si>
  <si>
    <t>Certification Score = or &gt;126</t>
  </si>
  <si>
    <t>Gold Level</t>
  </si>
  <si>
    <t>Score 
(0-3)</t>
  </si>
  <si>
    <t>Module Score</t>
  </si>
  <si>
    <t>Total Score</t>
  </si>
  <si>
    <t>Scoring Guidance</t>
  </si>
  <si>
    <t xml:space="preserve"> - Green cell indicates Key Criteria
 - Certification requirement for all Key Criteria is a score of 3</t>
  </si>
  <si>
    <t xml:space="preserve"> - White cell indicates non-key criteria
 - Certification requirement for all non-key criteria is a score of 1</t>
  </si>
  <si>
    <t>Question #</t>
  </si>
  <si>
    <t>Module</t>
  </si>
  <si>
    <t>Objective</t>
  </si>
  <si>
    <t>Current score</t>
  </si>
  <si>
    <t>Action</t>
  </si>
  <si>
    <t>Responsible</t>
  </si>
  <si>
    <t>Due date</t>
  </si>
  <si>
    <t>Status</t>
  </si>
  <si>
    <t>Comments</t>
  </si>
  <si>
    <t>Rockwell Automation MMC2 Model Line - Action plan</t>
  </si>
  <si>
    <t xml:space="preserve">Purpose </t>
  </si>
  <si>
    <t>Create a single, forward-focused vision, aligning business and plant priorities and anticipate opportunities to meet targets</t>
  </si>
  <si>
    <t>Improve metrics that matter and drive the company's culture through a defined cadence of standardized reviews at all levels of management and supervision</t>
  </si>
  <si>
    <t>Open communication between leadership and frontline employees, fostering a culture of collaboration, leading to improved teamwork, and fast response to problems</t>
  </si>
  <si>
    <t>Make problems easier to see; reduce cycle times; improve safety; make the facility a better place to work; improve employee morale and selfdiscipline</t>
  </si>
  <si>
    <t xml:space="preserve">Ensure our employees have the skills and knowledge to successfully execute on:  </t>
  </si>
  <si>
    <t>Achieve business goals by creating a problemsolving culture at the production level</t>
  </si>
  <si>
    <t>Create an environment that encourages employees to generate and share innovative ideas to improve processes</t>
  </si>
  <si>
    <t>Create a better understanding of business and manufacturing processes to make better informed decisions</t>
  </si>
  <si>
    <t>Improve metrics that matter by providing a structured framework for teams to identify waste, constraints and inefficiencies in processes and make quick improvements</t>
  </si>
  <si>
    <t>Create and focus on metrics that align with and balance strategic priorities, also that can be measured accurately and benchmarked</t>
  </si>
  <si>
    <t>Hoshin Strategic Planning</t>
  </si>
  <si>
    <t>Manufacturing Operational Rhythm</t>
  </si>
  <si>
    <t>Gemba Walks</t>
  </si>
  <si>
    <t>5S Program</t>
  </si>
  <si>
    <t>Process Mapping</t>
  </si>
  <si>
    <t>Kaizen Culture</t>
  </si>
  <si>
    <r>
      <t>1.</t>
    </r>
    <r>
      <rPr>
        <sz val="7"/>
        <color rgb="FF000000"/>
        <rFont val="Times New Roman"/>
        <family val="1"/>
      </rPr>
      <t xml:space="preserve">  </t>
    </r>
    <r>
      <rPr>
        <sz val="12"/>
        <color rgb="FF000000"/>
        <rFont val="Calibri"/>
        <family val="2"/>
      </rPr>
      <t xml:space="preserve">Lean AIPs from Hoshin plan </t>
    </r>
  </si>
  <si>
    <r>
      <t>2.</t>
    </r>
    <r>
      <rPr>
        <sz val="7"/>
        <color rgb="FF000000"/>
        <rFont val="Times New Roman"/>
        <family val="1"/>
      </rPr>
      <t xml:space="preserve">  </t>
    </r>
    <r>
      <rPr>
        <sz val="12"/>
        <color rgb="FF000000"/>
        <rFont val="Calibri"/>
        <family val="2"/>
      </rPr>
      <t>Strategic initiative</t>
    </r>
  </si>
  <si>
    <r>
      <t>3.</t>
    </r>
    <r>
      <rPr>
        <sz val="7"/>
        <color rgb="FF000000"/>
        <rFont val="Times New Roman"/>
        <family val="1"/>
      </rPr>
      <t xml:space="preserve">  </t>
    </r>
    <r>
      <rPr>
        <sz val="12"/>
        <color rgb="FF000000"/>
        <rFont val="Calibri"/>
        <family val="2"/>
      </rPr>
      <t>Suggestion Syste</t>
    </r>
  </si>
  <si>
    <t>Total Criteria = XX</t>
  </si>
  <si>
    <t>Maximum Score = XXX</t>
  </si>
  <si>
    <t>Business Unit:</t>
  </si>
  <si>
    <t>Production Line:</t>
  </si>
  <si>
    <t>IDB</t>
  </si>
  <si>
    <t>Business Unit</t>
  </si>
  <si>
    <t>LCS</t>
  </si>
  <si>
    <t>LVMCC</t>
  </si>
  <si>
    <t>Frames</t>
  </si>
  <si>
    <t>Finals</t>
  </si>
  <si>
    <t>Units</t>
  </si>
  <si>
    <t>Model Line Assessment</t>
  </si>
  <si>
    <t>Fabrication</t>
  </si>
  <si>
    <t>LVP</t>
  </si>
  <si>
    <t>Carrier</t>
  </si>
  <si>
    <t>AMAT</t>
  </si>
  <si>
    <t>Cell 1</t>
  </si>
  <si>
    <t>Oxy</t>
  </si>
  <si>
    <t>Cell 2</t>
  </si>
  <si>
    <t>PEFT</t>
  </si>
  <si>
    <t>Cell 3 (Vandelay)</t>
  </si>
  <si>
    <t>UPS</t>
  </si>
  <si>
    <t>Cabinets</t>
  </si>
  <si>
    <t>Sub Assy</t>
  </si>
  <si>
    <t>Painting</t>
  </si>
  <si>
    <t>Lean Foundation Module</t>
  </si>
  <si>
    <t>Observable Behavior</t>
  </si>
  <si>
    <t>2.0 Lean Foundations (ROX 2.0)</t>
  </si>
  <si>
    <t xml:space="preserve">Current &amp; Trended Line metrics, with defined targets, are posted at the High Performance Team area (Safety, Quality, Delivery, Costs ) and show positive trending improvement. </t>
  </si>
  <si>
    <t>2.1 Hoshin Planning Strategy</t>
  </si>
  <si>
    <t>1.0 Manufacturing Strategy</t>
  </si>
  <si>
    <t>2.4 Visual Factory, 5S Program.</t>
  </si>
  <si>
    <t>Visual Management (5S) standards are defined and consistently implemented for Work, WIP, Materials, Tools, Cell Control Center, etc.
Visual management strategy and implementation roadmap is tracked over time and 5S scoring is trending positively.</t>
  </si>
  <si>
    <t>2.3 Gemba Walks</t>
  </si>
  <si>
    <t>1.1 Standardized Work</t>
  </si>
  <si>
    <t>5.0 Safety</t>
  </si>
  <si>
    <t>DWIs and Visual Aids are developed and follows a clear and consistent template. Standard work includes critical safety and quality information for specific tasks. A process exists to update, communicate, and document training relative to standard work changes.</t>
  </si>
  <si>
    <t>1.2 PFMEA</t>
  </si>
  <si>
    <t>Process Failure Mode and Effect Analysis has been developed for the production line and match their actual process
Countermeasures exists for the highests RPM results</t>
  </si>
  <si>
    <t>1.3 Line Balance / Capacity Study</t>
  </si>
  <si>
    <t>1.4 Layout</t>
  </si>
  <si>
    <t>1.6 Maintenance Strategy and Execution</t>
  </si>
  <si>
    <t>1.7 Plan for Every Part</t>
  </si>
  <si>
    <t>The production line has a simple and clear visual flow from raw (Bulk and Pick materials) to final acceptance.
Materials are 'Point of Use' (within 10 meters) for operators for &gt;80% of Materials.
WIP has been calculated to optimize flow and minimize overproduction.  WIP locations are clearly identified with min/max quantities replenished with Kanban/kitting, and meets 5S standards.
When planned WIP reaches max level - the previous process step will stop production.</t>
  </si>
  <si>
    <t>2.5 Problem Solving</t>
  </si>
  <si>
    <t>2.6 Short Kaizen</t>
  </si>
  <si>
    <t>An operator cross-training matrix, and training plan with defined trainers, visually exists at the line with 3+ employees trained on each process and each process is known by 3+ employees.</t>
  </si>
  <si>
    <t>1.8 Value Stream Mapping</t>
  </si>
  <si>
    <r>
      <rPr>
        <b/>
        <sz val="10"/>
        <color theme="1"/>
        <rFont val="Aptos Narrow"/>
        <family val="2"/>
        <scheme val="minor"/>
      </rPr>
      <t>1.8 Value Stream Mapping</t>
    </r>
    <r>
      <rPr>
        <sz val="10"/>
        <color theme="1"/>
        <rFont val="Aptos Narrow"/>
        <family val="2"/>
        <scheme val="minor"/>
      </rPr>
      <t xml:space="preserve">
• Kaizen teams leverage the VSM to define the current state and prioritize improvement opportunities.
• Current State VSMs show key improvement actions (kaizen bursts) A roadmap of specific kaizen activities to reduce/eliminate waste and improve flow exists.
</t>
    </r>
    <r>
      <rPr>
        <b/>
        <sz val="10"/>
        <color theme="1"/>
        <rFont val="Aptos Narrow"/>
        <family val="2"/>
        <scheme val="minor"/>
      </rPr>
      <t>2.2 MOR</t>
    </r>
    <r>
      <rPr>
        <sz val="10"/>
        <color theme="1"/>
        <rFont val="Aptos Narrow"/>
        <family val="2"/>
        <scheme val="minor"/>
      </rPr>
      <t xml:space="preserve">
• A Model MDI board is established and maintained by cell personnel and team members can explain content which includes:
• - Takt time calculation
• - Future state Value Stream Map (VSM)
• - Time observation sheet
• - Standard Work combination sheet
• - Yamazumi
• - Kaizen roadmap (12 month/ quarter)
• - Clear alignment between HPT problems &amp; pareto with ongoing actions to improve metric</t>
    </r>
  </si>
  <si>
    <t>2.7 Kaizen Culture</t>
  </si>
  <si>
    <t>2.8 Metrics that matter</t>
  </si>
  <si>
    <t>All employees that work on the model line are part of an HPT. HPT meetings occur at least 3 days a week to review data, trends, current performance, generate ideas from team members for improvements, and prioritize actions.
HPT members influence and help select metrics for their CCC boards that align to overall site goals.  The goals and targets are reviewed at least quarterly and updated to reflect behaviors/outcomes the team most wants to improve.</t>
  </si>
  <si>
    <t>3.0 High Performance Teams</t>
  </si>
  <si>
    <t>3.1 High Performance Teams</t>
  </si>
  <si>
    <t>4.0 Quality at Source</t>
  </si>
  <si>
    <t xml:space="preserve">Control Plan is updated and available for applicable work stations. ODS / Visual work instructions include references to the control plan as well as medium/high risks identified on the PFMEA. </t>
  </si>
  <si>
    <t>Non conforming material is properly identified and segregated and disposition is done in a timely manner (not longer than weekly).</t>
  </si>
  <si>
    <t>People is getting daily notifications of quality issues.
Simple Problem Solving or 8D methodology is used  to resolve top issues in line metrics and significant internal and external customer issues.</t>
  </si>
  <si>
    <t xml:space="preserve">Risk Assessment (SRA / EJMS) are living documents that are updated as part of the change management process (MOCs). SRA reviews are included in onboarding and certification documents for each process. </t>
  </si>
  <si>
    <t>5.2 Hazard Identification</t>
  </si>
  <si>
    <t>5.1 Risk Assessment</t>
  </si>
  <si>
    <t>5.3 Waste deferral</t>
  </si>
  <si>
    <t>6.0 Autonomous &amp; Digital processes</t>
  </si>
  <si>
    <t>6.1 Production Scheduling and Control</t>
  </si>
  <si>
    <t>6.2 FTPC</t>
  </si>
  <si>
    <t>Industry 4.0 is applied through FTPC tools, dashboards of efficiency, utliization and production line issues are displayed in the production line</t>
  </si>
  <si>
    <t>7.0 Design Improvement</t>
  </si>
  <si>
    <t>Production Line is balanced between processes, Supervisor and production leader are aware of each process capacity.
Production line is prepared for high demand spikes.</t>
  </si>
  <si>
    <r>
      <rPr>
        <b/>
        <sz val="10"/>
        <color theme="1"/>
        <rFont val="Aptos Narrow"/>
        <family val="2"/>
        <scheme val="minor"/>
      </rPr>
      <t>2.2 Manufacturing Operational Rhythm</t>
    </r>
    <r>
      <rPr>
        <sz val="10"/>
        <color theme="1"/>
        <rFont val="Aptos Narrow"/>
        <family val="2"/>
        <scheme val="minor"/>
      </rPr>
      <t xml:space="preserve">
• A Model board (Cycle 1 Totem) is established and maintained by cell personnel and team members can explain content.
• Pareto, trend data for key metrics are part of the Control Area.
• Actions have been identified to address recurring issues. Team understands the action plans and target dates are consistency achieved.
• Misses to goals are documented with clear actions, owners, timing, and escalation. Review process for open action items is documented and executed to plan.
• Historical Safety, Quality, and Production performance trend is known by the team.
• SQDCP metrics on CCC are at target or trending in the right direction for &gt;3 months.</t>
    </r>
  </si>
  <si>
    <t>2.2 Manufacturing Operational Rhythm</t>
  </si>
  <si>
    <r>
      <rPr>
        <b/>
        <sz val="10"/>
        <color theme="1"/>
        <rFont val="Aptos Narrow"/>
        <family val="2"/>
        <scheme val="minor"/>
      </rPr>
      <t>1.2 Process Failure Mode and Effect Analysis</t>
    </r>
    <r>
      <rPr>
        <sz val="10"/>
        <color theme="1"/>
        <rFont val="Aptos Narrow"/>
        <family val="2"/>
        <scheme val="minor"/>
      </rPr>
      <t xml:space="preserve">
• The PFMEA is known by production leader and supervisor, in Book of Knowledge and aligned with Control Plan.</t>
    </r>
  </si>
  <si>
    <r>
      <t>1.3 Line Balance</t>
    </r>
    <r>
      <rPr>
        <sz val="10"/>
        <color theme="1"/>
        <rFont val="Aptos Narrow"/>
        <family val="2"/>
        <scheme val="minor"/>
      </rPr>
      <t xml:space="preserve">
• Supervisor can explain the balance between process, capacity of the production line and bottle necks.
• Yamazumi chart exist for production line</t>
    </r>
    <r>
      <rPr>
        <b/>
        <sz val="10"/>
        <color theme="1"/>
        <rFont val="Aptos Narrow"/>
        <family val="2"/>
        <scheme val="minor"/>
      </rPr>
      <t xml:space="preserve">
</t>
    </r>
    <r>
      <rPr>
        <sz val="10"/>
        <color theme="1"/>
        <rFont val="Aptos Narrow"/>
        <family val="2"/>
        <scheme val="minor"/>
      </rPr>
      <t>• Takt time calculation</t>
    </r>
  </si>
  <si>
    <r>
      <rPr>
        <b/>
        <sz val="10"/>
        <color theme="1"/>
        <rFont val="Aptos Narrow"/>
        <family val="2"/>
        <scheme val="minor"/>
      </rPr>
      <t>1.1 Standardized Work</t>
    </r>
    <r>
      <rPr>
        <sz val="10"/>
        <color theme="1"/>
        <rFont val="Aptos Narrow"/>
        <family val="2"/>
        <scheme val="minor"/>
      </rPr>
      <t xml:space="preserve">
• The Standard Work /Operator Data Sheet (ODS) or similar operations documents the sequence of work, clearly defines critical to quality (in alignment with the PFMEA) and high risk safety items, and includes pictures.
• Current Standard work/DWIs or prints/drawings are readily available in the work area.</t>
    </r>
  </si>
  <si>
    <t>The line has a well organized flow of work stations, materials (Raw Material / Bulk Materials / WIP / Finished Goods), tools/equipment, defective or on hold product area.
Visual controls clearly demonstrate raw material quantity abnormalities (outage, excess, etc.). Material conveyance minimizes the number of touches required for material within the site. Direct labor movement of materials has been minimized.</t>
  </si>
  <si>
    <r>
      <rPr>
        <b/>
        <sz val="10"/>
        <color theme="1"/>
        <rFont val="Aptos Narrow"/>
        <family val="2"/>
        <scheme val="minor"/>
      </rPr>
      <t>1.5 Material Flow</t>
    </r>
    <r>
      <rPr>
        <sz val="10"/>
        <color theme="1"/>
        <rFont val="Aptos Narrow"/>
        <family val="2"/>
        <scheme val="minor"/>
      </rPr>
      <t xml:space="preserve">
• Work In Process / In Process Kanban inventory levels (min/max) have been calculated (based on defined/ valid reasoning) and locations defined.
• There are systematic reviews of replenishment methods and quantities when demand changes or new products are introduced. 
</t>
    </r>
    <r>
      <rPr>
        <b/>
        <sz val="10"/>
        <color theme="1"/>
        <rFont val="Aptos Narrow"/>
        <family val="2"/>
        <scheme val="minor"/>
      </rPr>
      <t>2.4 Visual Factory, 5S, and Waste Elimination</t>
    </r>
    <r>
      <rPr>
        <sz val="10"/>
        <color theme="1"/>
        <rFont val="Aptos Narrow"/>
        <family val="2"/>
        <scheme val="minor"/>
      </rPr>
      <t xml:space="preserve">
• Visual management strategy exists for the location and allows all team members to quickly identify abnormalities within the system or work area
• Action is take immediately for abnormalities impacting production.
• An area for un utilized materials (tools, jigs, fixtures exists) and doesn't have materials with more than 2 weeks in there</t>
    </r>
  </si>
  <si>
    <r>
      <rPr>
        <b/>
        <sz val="10"/>
        <color theme="1"/>
        <rFont val="Aptos Narrow"/>
        <family val="2"/>
        <scheme val="minor"/>
      </rPr>
      <t xml:space="preserve">1.5 Material Flow
</t>
    </r>
    <r>
      <rPr>
        <sz val="10"/>
        <color theme="1"/>
        <rFont val="Aptos Narrow"/>
        <family val="2"/>
        <scheme val="minor"/>
      </rPr>
      <t xml:space="preserve">• Work In Process/ In Process Kanban inventory levels (min/max) have been calculated (based on defined/ valid reasoning) and locations defined for at least 25% of COGS (product families).
• There are systematic reviews of replenishment methods and quantities when demand changes or new products are introduced. 
</t>
    </r>
    <r>
      <rPr>
        <b/>
        <sz val="10"/>
        <color theme="1"/>
        <rFont val="Aptos Narrow"/>
        <family val="2"/>
        <scheme val="minor"/>
      </rPr>
      <t xml:space="preserve">
2.2 MOR</t>
    </r>
    <r>
      <rPr>
        <sz val="10"/>
        <color theme="1"/>
        <rFont val="Aptos Narrow"/>
        <family val="2"/>
        <scheme val="minor"/>
      </rPr>
      <t xml:space="preserve">
• Misses to goals are documented with clear actions, owners, timing, and escalation. Review process for open action items is documented and executed to plan.</t>
    </r>
    <r>
      <rPr>
        <b/>
        <sz val="10"/>
        <color theme="1"/>
        <rFont val="Aptos Narrow"/>
        <family val="2"/>
        <scheme val="minor"/>
      </rPr>
      <t xml:space="preserve">
2.4 Visual Factory, 5S, and Waste Elimination
</t>
    </r>
    <r>
      <rPr>
        <sz val="10"/>
        <color theme="1"/>
        <rFont val="Aptos Narrow"/>
        <family val="2"/>
        <scheme val="minor"/>
      </rPr>
      <t>• Visual management strategy exists for the location and allows all team members to quickly identify abnormalities within the system or work area.</t>
    </r>
  </si>
  <si>
    <r>
      <rPr>
        <b/>
        <sz val="10"/>
        <color theme="1"/>
        <rFont val="Aptos Narrow"/>
        <family val="2"/>
        <scheme val="minor"/>
      </rPr>
      <t>1.4 Standardized Work</t>
    </r>
    <r>
      <rPr>
        <sz val="10"/>
        <color theme="1"/>
        <rFont val="Aptos Narrow"/>
        <family val="2"/>
        <scheme val="minor"/>
      </rPr>
      <t xml:space="preserve">
• Standard work plans include time for preventive maintenance, 5S, quality checks, and standard meeting times (HPT, training, etc.).
</t>
    </r>
    <r>
      <rPr>
        <b/>
        <sz val="10"/>
        <color theme="1"/>
        <rFont val="Aptos Narrow"/>
        <family val="2"/>
        <scheme val="minor"/>
      </rPr>
      <t>2.2 MOR</t>
    </r>
    <r>
      <rPr>
        <sz val="10"/>
        <color theme="1"/>
        <rFont val="Aptos Narrow"/>
        <family val="2"/>
        <scheme val="minor"/>
      </rPr>
      <t xml:space="preserve">
• Maintenance issues has been addressed an resolve during Cycle 1 meetings.</t>
    </r>
  </si>
  <si>
    <t xml:space="preserve">Equipments such as cranes, lifting tables, test fixtures, etc. has a Maintenaces ID for FIIX System.
Maintenance Standard Work is clearly defined for operators and/or maintenance staff.  Daily, weekly, and monthly operator preventative maintenance tasks are defined, visual work instructions are available at the equipment.
For critical equipment, the "Normal" state is defined with a visual normal/abnormal response process. </t>
  </si>
  <si>
    <r>
      <rPr>
        <b/>
        <sz val="10"/>
        <color theme="1"/>
        <rFont val="Aptos Narrow"/>
        <family val="2"/>
        <scheme val="minor"/>
      </rPr>
      <t xml:space="preserve">1.8 Value Stream Mapping
</t>
    </r>
    <r>
      <rPr>
        <sz val="10"/>
        <color theme="1"/>
        <rFont val="Aptos Narrow"/>
        <family val="2"/>
        <scheme val="minor"/>
      </rPr>
      <t xml:space="preserve">• The current VSM identifies flow and high-level process blocks but has limited information regarding WIP, inventory, actual changeover times, and information flow to support the process.
</t>
    </r>
    <r>
      <rPr>
        <b/>
        <sz val="10"/>
        <color theme="1"/>
        <rFont val="Aptos Narrow"/>
        <family val="2"/>
        <scheme val="minor"/>
      </rPr>
      <t>1.4 and 1.5 Layout / Material Flow</t>
    </r>
    <r>
      <rPr>
        <sz val="10"/>
        <color theme="1"/>
        <rFont val="Aptos Narrow"/>
        <family val="2"/>
        <scheme val="minor"/>
      </rPr>
      <t xml:space="preserve">
• Line design has been documented and includes materials locations that support the plan for every part (PFEP) replenishment strategy. Materials locations are easily accessible for all material handling activities and minimize forklift traffic in work areas</t>
    </r>
  </si>
  <si>
    <t>Plan for Every Part (for bulk and kanban materials) has been defined which includes packaging, safety stock or min/max within ERP, how material flows to the line and the frequency, and line layout aligned with stocking strategy (kanban, 2-bin system, consignment, scheduled replenishment, etc.).</t>
  </si>
  <si>
    <r>
      <t xml:space="preserve">2.3 Gemba Walks 
</t>
    </r>
    <r>
      <rPr>
        <sz val="10"/>
        <color theme="1"/>
        <rFont val="Aptos Narrow"/>
        <family val="2"/>
        <scheme val="minor"/>
      </rPr>
      <t>• High Performance Team bi-weekly Gemba Walk.
• Team is following Gemba Walk tool (dashboard).</t>
    </r>
    <r>
      <rPr>
        <b/>
        <sz val="10"/>
        <color theme="1"/>
        <rFont val="Aptos Narrow"/>
        <family val="2"/>
        <scheme val="minor"/>
      </rPr>
      <t xml:space="preserve">
</t>
    </r>
    <r>
      <rPr>
        <sz val="10"/>
        <color theme="1"/>
        <rFont val="Aptos Narrow"/>
        <family val="2"/>
        <scheme val="minor"/>
      </rPr>
      <t>• Actions from gemba walk has been addressed, are on date with the plan and are aligned with HPT issues.</t>
    </r>
  </si>
  <si>
    <t>Open communication between Staff, Support areas and frontline employees, fostering a culture of collaboration, leading to improved teamwork, and fast response to problems.</t>
  </si>
  <si>
    <t>An idea generation process exists to capture/review/prioritize/implement employee ideas. Ideas demonstrate evidence of improved line performance (Output / Cost innovation / Scrap Reduction).
Create an environment that encourages employees to generate and share innovative ideas to improve processes.</t>
  </si>
  <si>
    <t>Pareto of key (top 80%) of failure modes is visible at the High Performance team area, updated weekly, and linked to an improvement plan. Top issues has been solved or have action plans during Cycle 3 meeting and have escalation support.
All defects are identified, measured, tracked and trended. The line is restarted when problem is understood/contained (i.e. Safety, Quality, Material, Manpower/training, equipment etc.) Side note: Manual or electronic version</t>
  </si>
  <si>
    <t xml:space="preserve">Daily shift Control Area meetings are held with operators and include discussion of Safety, Quality, Delivery, Production Target performance, Schedule changes and other key information. 
Top issues have been addressed through the Cycles meeting level. HPT reviews trends and data weekly to prioritize action plans, assigned tasks, and collaborate across functions (safety, quality, cost, continuous improvement, people, etc.).
A Problem Escalation Process exists with Stop Line rules, understood and consistently used by all operators. </t>
  </si>
  <si>
    <r>
      <rPr>
        <b/>
        <sz val="10"/>
        <color theme="1"/>
        <rFont val="Aptos Narrow"/>
        <family val="2"/>
        <scheme val="minor"/>
      </rPr>
      <t>2.5 Problem Solving</t>
    </r>
    <r>
      <rPr>
        <sz val="10"/>
        <color theme="1"/>
        <rFont val="Aptos Narrow"/>
        <family val="2"/>
        <scheme val="minor"/>
      </rPr>
      <t xml:space="preserve">
• All defects are identified, measured, tracked and trended. The line is restarted when problem is understood/contained (i.e. Safety, Quality, Material, Manpower/training, equipment etc.) Side note: Manual or electronic version</t>
    </r>
  </si>
  <si>
    <r>
      <rPr>
        <b/>
        <sz val="10"/>
        <color theme="1"/>
        <rFont val="Aptos Narrow"/>
        <family val="2"/>
        <scheme val="minor"/>
      </rPr>
      <t xml:space="preserve">2.2 MOR
</t>
    </r>
    <r>
      <rPr>
        <sz val="10"/>
        <color theme="1"/>
        <rFont val="Aptos Narrow"/>
        <family val="2"/>
        <scheme val="minor"/>
      </rPr>
      <t xml:space="preserve">• All employees feel they have opportunities to share improvement ideas and leadership consistently listens to their ideas through focus groups and skip-level 
meetings. 
• Employees have at least one way to submit ideas or feedback to leadership on a continual basis. Leadership has standard work for reviewing and responding to 
submissions
• Site leadership consistently hosts focus groups or other forums to facilitate two-way conversations and generate new ideas to improve processes and the overall employee experience.
• Visual management of employee ideas is available, preferably as part of the CCCs. Employee ideas are reviewed and discussed with the submitting employee 
within 1 working day.
</t>
    </r>
    <r>
      <rPr>
        <b/>
        <sz val="10"/>
        <color theme="1"/>
        <rFont val="Aptos Narrow"/>
        <family val="2"/>
        <scheme val="minor"/>
      </rPr>
      <t xml:space="preserve">
2.6 Short Kaizen Culture</t>
    </r>
    <r>
      <rPr>
        <sz val="10"/>
        <color theme="1"/>
        <rFont val="Aptos Narrow"/>
        <family val="2"/>
        <scheme val="minor"/>
      </rPr>
      <t xml:space="preserve">
• Idea generation system exists with evidence of use and a dedicated team exists to implement ideas.
• &gt;50% of employees have submitted at least one improvement idea in the past 12 months.
• Status of submitted employee ideas are visible and consistenly updated.
•Employees actively participate in identifying improvement ideas across the business accomplishing kaizen in their area when possible.
•Employees believe that if they submit an idea they will get a close loop response, even if the input cannot be delivered.
</t>
    </r>
    <r>
      <rPr>
        <b/>
        <sz val="10"/>
        <color theme="1"/>
        <rFont val="Aptos Narrow"/>
        <family val="2"/>
        <scheme val="minor"/>
      </rPr>
      <t>3.1 High Performance Teams</t>
    </r>
    <r>
      <rPr>
        <sz val="10"/>
        <color theme="1"/>
        <rFont val="Aptos Narrow"/>
        <family val="2"/>
        <scheme val="minor"/>
      </rPr>
      <t xml:space="preserve">
•Teams lead daily CCCs drive performance and problem solving as well as overall employee engagement. Employees feel empowered to provide feedback and ideas.
•HPT meetings are conducted at least monthly and employees share the value gained from the time. Meetings include evaluations of trends, upcoming changes, best practice sharing (internal to site and external) and facilitates discussion around improvement ideas, actions to improve employee survey scores and project prioritization.
</t>
    </r>
    <r>
      <rPr>
        <b/>
        <sz val="10"/>
        <color theme="1"/>
        <rFont val="Aptos Narrow"/>
        <family val="2"/>
        <scheme val="minor"/>
      </rPr>
      <t xml:space="preserve">5.1 Risk Assessment
</t>
    </r>
    <r>
      <rPr>
        <sz val="10"/>
        <color theme="1"/>
        <rFont val="Aptos Narrow"/>
        <family val="2"/>
        <scheme val="minor"/>
      </rPr>
      <t>• Employees are aware of the highest risks within their work area and the plant. They can share improvements they have experienced and ideas they have submitted.</t>
    </r>
  </si>
  <si>
    <t>Production line has a culture of Kaizen improving their processes utilizing Short Kaizen methodology and Kaizen events using Value Stream Mapping methodology.</t>
  </si>
  <si>
    <r>
      <rPr>
        <b/>
        <sz val="10"/>
        <color theme="1"/>
        <rFont val="Aptos Narrow"/>
        <family val="2"/>
        <scheme val="minor"/>
      </rPr>
      <t>2.4 Visual Factory, 5S Program</t>
    </r>
    <r>
      <rPr>
        <sz val="10"/>
        <color theme="1"/>
        <rFont val="Aptos Narrow"/>
        <family val="2"/>
        <scheme val="minor"/>
      </rPr>
      <t xml:space="preserve">
• Visual management strategy, including a 5S standard has been documented and includes an 
implementation roadmap if not fully implemented.
• 50-80% of production area has 5S / Visual Management tools in use. 5S roles and responsibilities are understood and references are posted in the area.
•Internal audits has been realized less than 1 month ago.
• Visual management strategy exists for the location and allows all team members to quickly identify abnormalities within the system or work area.
• Visual management tools (shadow boards), andon lights, 5S markings, and reaction plans to respond to abnormalities.</t>
    </r>
  </si>
  <si>
    <r>
      <rPr>
        <b/>
        <sz val="10"/>
        <color theme="1"/>
        <rFont val="Aptos Narrow"/>
        <family val="2"/>
        <scheme val="minor"/>
      </rPr>
      <t xml:space="preserve">1.8 Value Stream Mapping
</t>
    </r>
    <r>
      <rPr>
        <sz val="10"/>
        <color theme="1"/>
        <rFont val="Aptos Narrow"/>
        <family val="2"/>
        <scheme val="minor"/>
      </rPr>
      <t xml:space="preserve">• Kaizen teams leverage the VSM to define the current state and prioritize improvement opportunities.
• Current State VSMs show key improvement actions (kaizen bursts) A roadmap of specific kaizen activities to reduce/eliminate waste and improve flow exists.
</t>
    </r>
    <r>
      <rPr>
        <b/>
        <sz val="10"/>
        <color theme="1"/>
        <rFont val="Aptos Narrow"/>
        <family val="2"/>
        <scheme val="minor"/>
      </rPr>
      <t xml:space="preserve">
2.2 Daily Management</t>
    </r>
    <r>
      <rPr>
        <sz val="10"/>
        <color theme="1"/>
        <rFont val="Aptos Narrow"/>
        <family val="2"/>
        <scheme val="minor"/>
      </rPr>
      <t xml:space="preserve">
• Misses to goals are documented with clear actions, owners, timing, and escalation. Review process for open action items is documented and executed to plan.
• Clear information flow regarding escalation and action plans between Cycle 1, 3 and fast response meetings.</t>
    </r>
    <r>
      <rPr>
        <b/>
        <sz val="10"/>
        <color theme="1"/>
        <rFont val="Aptos Narrow"/>
        <family val="2"/>
        <scheme val="minor"/>
      </rPr>
      <t xml:space="preserve">
2.4 Visual Factory, 5S, and Waste Elimination</t>
    </r>
    <r>
      <rPr>
        <sz val="10"/>
        <color theme="1"/>
        <rFont val="Aptos Narrow"/>
        <family val="2"/>
        <scheme val="minor"/>
      </rPr>
      <t xml:space="preserve">
• Use of visual cues and escalation activities are initiated by events (machine downtime, high occurance problems, or on the severity of a problem), which are standardized for &gt;50% of the plant line / cells or machines. All constraint/ bottleneck areas have visual management tools to quickly indentify abnormal situations.</t>
    </r>
  </si>
  <si>
    <r>
      <rPr>
        <b/>
        <sz val="10"/>
        <color theme="1"/>
        <rFont val="Aptos Narrow"/>
        <family val="2"/>
        <scheme val="minor"/>
      </rPr>
      <t>2.4 Daily Management</t>
    </r>
    <r>
      <rPr>
        <sz val="10"/>
        <color theme="1"/>
        <rFont val="Aptos Narrow"/>
        <family val="2"/>
        <scheme val="minor"/>
      </rPr>
      <t xml:space="preserve">
• Pareto and trend data for key metrics are part of the CCC.
• Historical Safety, Quality, and Production performance trend is known by the team.
• SQDCP metrics on HPT Dashboards are at target or trending in the right direction for &gt;3 months.
</t>
    </r>
    <r>
      <rPr>
        <b/>
        <sz val="10"/>
        <color theme="1"/>
        <rFont val="Aptos Narrow"/>
        <family val="2"/>
        <scheme val="minor"/>
      </rPr>
      <t xml:space="preserve">5.0 Safety
</t>
    </r>
    <r>
      <rPr>
        <sz val="10"/>
        <color theme="1"/>
        <rFont val="Aptos Narrow"/>
        <family val="2"/>
        <scheme val="minor"/>
      </rPr>
      <t xml:space="preserve">• Near misses, injuries, and audit findings are analyzed for trends and actions have been taken to resolve systemic issues.
</t>
    </r>
    <r>
      <rPr>
        <b/>
        <sz val="10"/>
        <color theme="1"/>
        <rFont val="Aptos Narrow"/>
        <family val="2"/>
        <scheme val="minor"/>
      </rPr>
      <t xml:space="preserve">6.4 Non-Conforming Material and Off-Standard Processes
</t>
    </r>
    <r>
      <rPr>
        <sz val="10"/>
        <color theme="1"/>
        <rFont val="Aptos Narrow"/>
        <family val="2"/>
        <scheme val="minor"/>
      </rPr>
      <t>• Some trend data is available for NCM materials. This may include supplier quality, part number data, process information, COPQ, etc.</t>
    </r>
  </si>
  <si>
    <t>4.1 Control Plan</t>
  </si>
  <si>
    <r>
      <rPr>
        <b/>
        <sz val="10"/>
        <color theme="1"/>
        <rFont val="Aptos Narrow"/>
        <family val="2"/>
        <scheme val="minor"/>
      </rPr>
      <t>1.0 Manufactyring Strategy</t>
    </r>
    <r>
      <rPr>
        <sz val="10"/>
        <color theme="1"/>
        <rFont val="Aptos Narrow"/>
        <family val="2"/>
        <scheme val="minor"/>
      </rPr>
      <t xml:space="preserve">
• Some process FMEAs have been completed and corresponding control plans implemented.
• DFAM, DFMEA, PFMEA and control plan are created and evaluated by a cross-functional team and the process ensures completion of all open action items 
prior to product/process changes.
• PFMEAs are connected to control plans and a process exists to update control plans when changes are made to the PFMEA.
• The PFMEA and Control Plan are connected. PFMEA and Control Plans are updated and cascaded to like equipment/ processes and in place for at least 50% of processes and machines
</t>
    </r>
    <r>
      <rPr>
        <b/>
        <sz val="10"/>
        <color theme="1"/>
        <rFont val="Aptos Narrow"/>
        <family val="2"/>
        <scheme val="minor"/>
      </rPr>
      <t>4.2 Manufacturing Quality</t>
    </r>
    <r>
      <rPr>
        <sz val="10"/>
        <color theme="1"/>
        <rFont val="Aptos Narrow"/>
        <family val="2"/>
        <scheme val="minor"/>
      </rPr>
      <t xml:space="preserve">
• For all workstations, Control Plan requirements are applied and OK and NOK visual standards are available where appropriate.
• Operators consistently execute the control plans and understand why the requirement exists.
• Control plans are dynamic and linked to the change control process based on business needs and data analysis.
• Control plan strategies for repair/reclaim areas exists and operators in those areas have a clear understanding of the requirements.</t>
    </r>
  </si>
  <si>
    <t>4.2 Manufacturing Quality</t>
  </si>
  <si>
    <t>4.3 Non-Conforming Material and Off-Standard Processes</t>
  </si>
  <si>
    <t>4.4 Learning and Development
(3X3 Matrix)</t>
  </si>
  <si>
    <r>
      <rPr>
        <b/>
        <sz val="10"/>
        <color theme="1"/>
        <rFont val="Aptos Narrow"/>
        <family val="2"/>
        <scheme val="minor"/>
      </rPr>
      <t>2.5 Problem Solving Process</t>
    </r>
    <r>
      <rPr>
        <sz val="10"/>
        <color theme="1"/>
        <rFont val="Aptos Narrow"/>
        <family val="2"/>
        <scheme val="minor"/>
      </rPr>
      <t xml:space="preserve">
• Employees are aware of problem solving tools. Examples may include 5 whys, 8D, fishbone diagram, A3, etc.
</t>
    </r>
    <r>
      <rPr>
        <b/>
        <sz val="10"/>
        <color theme="1"/>
        <rFont val="Aptos Narrow"/>
        <family val="2"/>
        <scheme val="minor"/>
      </rPr>
      <t>2.2 MOR</t>
    </r>
    <r>
      <rPr>
        <sz val="10"/>
        <color theme="1"/>
        <rFont val="Aptos Narrow"/>
        <family val="2"/>
        <scheme val="minor"/>
      </rPr>
      <t xml:space="preserve">
• Process exists to escalate issues from CCC to PCC and share information from PCC to CCC teams.
• Control Centers are implemented throughout the business including maintenance and the warehouse. This includes at least two non-production areas (i.e. 
safety, materials, manufacturing engineering, quality, supplier quality, NPI, etc.)
</t>
    </r>
    <r>
      <rPr>
        <b/>
        <sz val="10"/>
        <color theme="1"/>
        <rFont val="Aptos Narrow"/>
        <family val="2"/>
        <scheme val="minor"/>
      </rPr>
      <t>4.3 Non-Conforming Material and Off-Standard Process</t>
    </r>
    <r>
      <rPr>
        <sz val="10"/>
        <color theme="1"/>
        <rFont val="Aptos Narrow"/>
        <family val="2"/>
        <scheme val="minor"/>
      </rPr>
      <t xml:space="preserve">
• Non-Conforming Material status (scrap, rework, and containment) are tracked and reviewed on a routine basis
• Scrap rates are tracked during the pre-production builds and corrective actions were complete prior to production start date.</t>
    </r>
  </si>
  <si>
    <r>
      <rPr>
        <b/>
        <sz val="10"/>
        <color theme="1"/>
        <rFont val="Aptos Narrow"/>
        <family val="2"/>
        <scheme val="minor"/>
      </rPr>
      <t>4.3 Non-Conforming Material and Off-Standard Processes</t>
    </r>
    <r>
      <rPr>
        <sz val="10"/>
        <color theme="1"/>
        <rFont val="Aptos Narrow"/>
        <family val="2"/>
        <scheme val="minor"/>
      </rPr>
      <t xml:space="preserve">
• Some trend data is available for NCM materials. This may include supplier quality, part number data, process information, COPQ, etc
• Cost of Poor Quality (COPQ) is tracked at a HPT. It is equal or less than 20% away from the target set by the plant. Leading indicators are tracked at PCC.
• COPQ meets the target set in the profit plan.</t>
    </r>
  </si>
  <si>
    <r>
      <rPr>
        <b/>
        <sz val="10"/>
        <color theme="1"/>
        <rFont val="Aptos Narrow"/>
        <family val="2"/>
        <scheme val="minor"/>
      </rPr>
      <t>4.4 Learning and Development</t>
    </r>
    <r>
      <rPr>
        <sz val="10"/>
        <color theme="1"/>
        <rFont val="Aptos Narrow"/>
        <family val="2"/>
        <scheme val="minor"/>
      </rPr>
      <t xml:space="preserve">
•Training matrix is current and includes special processes qualifications/certification levels where necessary and cross-training plans to ensure manufacturing flexibility between work areas.</t>
    </r>
  </si>
  <si>
    <t>Machine Guarding is in place, LOTO placards posted in Equipment, Permanent electrical installations, and there are no significant or high risk Ergonomics issues (work height, lifting, push/pull, etc.).
Chemicals properly identified, stored and labeled. Safety Data Sheets (SDS) available.</t>
  </si>
  <si>
    <r>
      <rPr>
        <b/>
        <sz val="10"/>
        <color theme="1"/>
        <rFont val="Aptos Narrow"/>
        <family val="2"/>
        <scheme val="minor"/>
      </rPr>
      <t>5.1 Risk Assessment and Hazard Identification</t>
    </r>
    <r>
      <rPr>
        <sz val="10"/>
        <color theme="1"/>
        <rFont val="Aptos Narrow"/>
        <family val="2"/>
        <scheme val="minor"/>
      </rPr>
      <t xml:space="preserve">
• Site has implemented the Control of Hazardous Energy (LOTO) standard with clear roles and responsibilities
• Employees understand why controls are in place including PPE, two hand controls, light curtains, guards, etc. and take responsibility for ensuring proper working order prior to performing work.
• Material Safety Data Sheets (MSDS) are maintained for all chemicals and there is a structured review process for any new materials considered for use in the plant.</t>
    </r>
  </si>
  <si>
    <r>
      <rPr>
        <b/>
        <sz val="10"/>
        <color theme="1"/>
        <rFont val="Aptos Narrow"/>
        <family val="2"/>
        <scheme val="minor"/>
      </rPr>
      <t>5.3 Compliance EHS</t>
    </r>
    <r>
      <rPr>
        <sz val="10"/>
        <color theme="1"/>
        <rFont val="Aptos Narrow"/>
        <family val="2"/>
        <scheme val="minor"/>
      </rPr>
      <t xml:space="preserve">
• The management team has developed and communicated safety, health, sustainability, air, water, and waste management goals and created a plan to deliver the goals.</t>
    </r>
  </si>
  <si>
    <t>Frequent operator rotation in place, stretching program where appropriate.
Workstations are easily adjusted to meet the needs of individual operator, sit / stand / reach.
Process with highest EJMS rate has an action plan to improve score.</t>
  </si>
  <si>
    <t>5.0 Safety First</t>
  </si>
  <si>
    <t>6.0 Design Improvement</t>
  </si>
  <si>
    <t>% Impact</t>
  </si>
  <si>
    <t>Total Evaluation Score</t>
  </si>
  <si>
    <t xml:space="preserve">     Assessment Date:</t>
  </si>
  <si>
    <t xml:space="preserve">     Reviewer:</t>
  </si>
  <si>
    <t>n</t>
  </si>
  <si>
    <t>LVP-UPS</t>
  </si>
  <si>
    <t>UPS-On Machine</t>
  </si>
  <si>
    <t>BU</t>
  </si>
  <si>
    <t>Area</t>
  </si>
  <si>
    <t>Auditor</t>
  </si>
  <si>
    <t>Victor Gámez</t>
  </si>
  <si>
    <t>Francisco Cisneros</t>
  </si>
  <si>
    <t>Juan M. Mendoza</t>
  </si>
  <si>
    <t>Lorena Montalvo</t>
  </si>
  <si>
    <t>Manuel López</t>
  </si>
  <si>
    <t>Gilberto Hernandez</t>
  </si>
  <si>
    <t>Bryan Hernandez</t>
  </si>
  <si>
    <t>Pablo Martinez</t>
  </si>
  <si>
    <t>Miguel Faz</t>
  </si>
  <si>
    <t>Donaldo Melo</t>
  </si>
  <si>
    <t>Shalma Torres</t>
  </si>
  <si>
    <t>Christian Gomez</t>
  </si>
  <si>
    <t>NA</t>
  </si>
  <si>
    <t>LVP-Symbotic</t>
  </si>
  <si>
    <t>Carlos Ariel del Angel</t>
  </si>
  <si>
    <t>Create a single, and in all levels forward-focused vision, aligning business and plant priorities and anticipate opportunities to meet targets</t>
  </si>
  <si>
    <r>
      <rPr>
        <b/>
        <sz val="10"/>
        <color theme="1"/>
        <rFont val="Aptos Narrow"/>
        <family val="2"/>
        <scheme val="minor"/>
      </rPr>
      <t>2.1 Hoshin Planning Strategy</t>
    </r>
    <r>
      <rPr>
        <sz val="10"/>
        <color theme="1"/>
        <rFont val="Aptos Narrow"/>
        <family val="2"/>
        <scheme val="minor"/>
      </rPr>
      <t xml:space="preserve">
What to validate in the area?
There is an annual strategy (Hoshin) at the plant level
The X-Matrix or Hoshin document must exist centrally.
It is not mandatory for it to be in each area.
Effective communication
The area must have received formal communication about the Hoshin.
Examples: FY meeting, Tier 3, cascade, presentation.
KPI alignment
The area must have KPIs derived from the Hoshin, such as:
Scrap
Productivity
Safety
Costs
Lead time
Actions created by the area
The team must have generated its own actions to achieve the derived KPIs.
Disciplined follow-up
Visible tracking on boards
Assigned owners
Commitment dates
Periodic updates
Team understanding
Supervisors and champions should be able to explain:
“Our KPI X contributes to Hoshin objective Y.”</t>
    </r>
  </si>
  <si>
    <t>Create a single, forward-focused vision, aligning business and plant priorities and anticipate opportunities to meet targets
The team defined its own actions to achieve the derived KPIs.
Actions have an assigned owner, due dates, and an updated status.
The area reviews these KPIs and actions at least monthly.
Leaders can explain how their KPI contributes to the strategic objective.</t>
  </si>
  <si>
    <t>Production line has a culture of Kaizen improving their processes utilizing Short Kaizen methodology and Kaizen events using Value Stream Mapping methodology.
Is there a tool/system available to track abnormalities?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</si>
</sst>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48" x14ac:knownFonts="1">
    <font>
      <sz val="11"/>
      <color theme="1"/>
      <name val="Calibri"/>
      <family val="2"/>
    </font>
    <font>
      <b/>
      <sz val="11"/>
      <color theme="1"/>
      <name val="Calibri"/>
      <family val="2"/>
    </font>
    <font>
      <sz val="11"/>
      <color theme="1"/>
      <name val="Aptos Narrow"/>
      <family val="2"/>
      <scheme val="minor"/>
    </font>
    <font>
      <b/>
      <sz val="18"/>
      <color theme="1"/>
      <name val="Aptos Narrow"/>
      <family val="3"/>
      <scheme val="minor"/>
    </font>
    <font>
      <sz val="18"/>
      <color theme="1"/>
      <name val="Aptos Narrow"/>
      <family val="3"/>
      <scheme val="minor"/>
    </font>
    <font>
      <b/>
      <sz val="18"/>
      <color theme="0"/>
      <name val="Aptos Narrow"/>
      <family val="2"/>
      <scheme val="minor"/>
    </font>
    <font>
      <b/>
      <sz val="18"/>
      <color rgb="FFFFFFFF"/>
      <name val="Aptos Narrow"/>
      <family val="2"/>
      <scheme val="minor"/>
    </font>
    <font>
      <b/>
      <sz val="18"/>
      <color rgb="FF0070C0"/>
      <name val="Aptos Narrow"/>
      <family val="2"/>
      <scheme val="minor"/>
    </font>
    <font>
      <b/>
      <sz val="18"/>
      <color theme="0"/>
      <name val="Aptos Narrow"/>
      <family val="3"/>
      <scheme val="minor"/>
    </font>
    <font>
      <sz val="18"/>
      <color rgb="FF000000"/>
      <name val="Barlow"/>
    </font>
    <font>
      <sz val="18"/>
      <color rgb="FF0070C0"/>
      <name val="Barlow"/>
    </font>
    <font>
      <sz val="18"/>
      <color theme="1"/>
      <name val="Aptos Narrow"/>
      <family val="2"/>
      <scheme val="minor"/>
    </font>
    <font>
      <b/>
      <sz val="18"/>
      <color rgb="FF0070C0"/>
      <name val="Barlow"/>
    </font>
    <font>
      <b/>
      <sz val="11"/>
      <color theme="1"/>
      <name val="Aptos Narrow"/>
      <family val="2"/>
      <scheme val="minor"/>
    </font>
    <font>
      <b/>
      <sz val="14"/>
      <name val="Aptos Narrow"/>
      <family val="2"/>
      <scheme val="minor"/>
    </font>
    <font>
      <b/>
      <sz val="14"/>
      <color theme="1"/>
      <name val="Aptos Narrow"/>
      <family val="2"/>
      <scheme val="minor"/>
    </font>
    <font>
      <sz val="11"/>
      <color theme="5"/>
      <name val="Aptos Narrow"/>
      <family val="2"/>
      <scheme val="minor"/>
    </font>
    <font>
      <sz val="11"/>
      <color theme="9"/>
      <name val="Aptos Narrow"/>
      <family val="2"/>
      <scheme val="minor"/>
    </font>
    <font>
      <sz val="14"/>
      <color theme="1"/>
      <name val="Aptos Narrow"/>
      <family val="2"/>
      <scheme val="minor"/>
    </font>
    <font>
      <sz val="12"/>
      <color theme="1"/>
      <name val="Aptos Narrow"/>
      <family val="2"/>
      <scheme val="minor"/>
    </font>
    <font>
      <sz val="10"/>
      <color theme="1"/>
      <name val="Aptos Narrow"/>
      <family val="2"/>
      <scheme val="minor"/>
    </font>
    <font>
      <b/>
      <sz val="10"/>
      <color theme="1"/>
      <name val="Aptos Narrow"/>
      <family val="2"/>
      <scheme val="minor"/>
    </font>
    <font>
      <sz val="10"/>
      <color theme="5"/>
      <name val="Aptos Narrow"/>
      <family val="2"/>
      <scheme val="minor"/>
    </font>
    <font>
      <b/>
      <sz val="10"/>
      <color theme="5"/>
      <name val="Aptos Narrow"/>
      <family val="2"/>
      <scheme val="minor"/>
    </font>
    <font>
      <sz val="11"/>
      <name val="Aptos Narrow"/>
      <family val="2"/>
      <scheme val="minor"/>
    </font>
    <font>
      <sz val="12"/>
      <color rgb="FF000000"/>
      <name val="Aptos Narrow"/>
      <family val="2"/>
      <scheme val="minor"/>
    </font>
    <font>
      <sz val="10"/>
      <color theme="9"/>
      <name val="Aptos Narrow"/>
      <family val="2"/>
      <scheme val="minor"/>
    </font>
    <font>
      <sz val="12"/>
      <name val="Aptos Narrow"/>
      <family val="2"/>
      <scheme val="minor"/>
    </font>
    <font>
      <sz val="10"/>
      <name val="Aptos Narrow"/>
      <family val="2"/>
      <scheme val="minor"/>
    </font>
    <font>
      <b/>
      <sz val="28"/>
      <color theme="1"/>
      <name val="Aptos Narrow"/>
      <family val="2"/>
      <scheme val="minor"/>
    </font>
    <font>
      <b/>
      <sz val="16"/>
      <color rgb="FFFFFFFF"/>
      <name val="Aptos Narrow"/>
      <family val="2"/>
      <scheme val="minor"/>
    </font>
    <font>
      <b/>
      <sz val="16"/>
      <color theme="0"/>
      <name val="Aptos Narrow"/>
      <family val="2"/>
      <scheme val="minor"/>
    </font>
    <font>
      <b/>
      <sz val="14"/>
      <color rgb="FF002060"/>
      <name val="Aptos Narrow"/>
      <family val="2"/>
      <scheme val="minor"/>
    </font>
    <font>
      <b/>
      <sz val="12"/>
      <name val="Aptos Narrow"/>
      <family val="2"/>
      <scheme val="minor"/>
    </font>
    <font>
      <i/>
      <sz val="12"/>
      <name val="Aptos Narrow"/>
      <family val="2"/>
      <scheme val="minor"/>
    </font>
    <font>
      <b/>
      <i/>
      <sz val="12"/>
      <name val="Aptos Narrow"/>
      <family val="2"/>
      <scheme val="minor"/>
    </font>
    <font>
      <strike/>
      <sz val="11"/>
      <color theme="1"/>
      <name val="Aptos Narrow"/>
      <family val="2"/>
      <scheme val="minor"/>
    </font>
    <font>
      <b/>
      <sz val="12"/>
      <color rgb="FFC00000"/>
      <name val="Aptos Narrow"/>
      <family val="2"/>
      <scheme val="minor"/>
    </font>
    <font>
      <b/>
      <sz val="12"/>
      <color theme="1"/>
      <name val="Aptos Narrow"/>
      <family val="2"/>
      <scheme val="minor"/>
    </font>
    <font>
      <sz val="10"/>
      <color rgb="FF000000"/>
      <name val="Aptos Narrow"/>
      <family val="2"/>
      <scheme val="minor"/>
    </font>
    <font>
      <b/>
      <sz val="10"/>
      <name val="Aptos Narrow"/>
      <family val="2"/>
      <scheme val="minor"/>
    </font>
    <font>
      <b/>
      <sz val="22"/>
      <color rgb="FFC00000"/>
      <name val="Aptos Narrow"/>
      <family val="2"/>
      <scheme val="minor"/>
    </font>
    <font>
      <b/>
      <sz val="26"/>
      <color rgb="FFC00000"/>
      <name val="Aptos Narrow"/>
      <family val="2"/>
      <scheme val="minor"/>
    </font>
    <font>
      <sz val="12"/>
      <color rgb="FF000000"/>
      <name val="Calibri"/>
      <family val="2"/>
    </font>
    <font>
      <b/>
      <sz val="12"/>
      <color rgb="FF000000"/>
      <name val="Calibri"/>
      <family val="2"/>
    </font>
    <font>
      <b/>
      <sz val="12"/>
      <color rgb="FFFFFFFF"/>
      <name val="Calibri"/>
      <family val="2"/>
    </font>
    <font>
      <sz val="7"/>
      <color rgb="FF000000"/>
      <name val="Times New Roman"/>
      <family val="1"/>
    </font>
    <font>
      <sz val="11"/>
      <color theme="1"/>
      <name val="Calibri"/>
      <family val="2"/>
    </font>
  </fonts>
  <fills count="18">
    <fill>
      <patternFill patternType="none"/>
    </fill>
    <fill>
      <patternFill patternType="gray125"/>
    </fill>
    <fill>
      <patternFill patternType="solid">
        <fgColor theme="0"/>
        <bgColor indexed="64"/>
      </patternFill>
    </fill>
    <fill>
      <patternFill patternType="solid">
        <fgColor theme="9" tint="0.79998168889431442"/>
        <bgColor indexed="64"/>
      </patternFill>
    </fill>
    <fill>
      <patternFill patternType="solid">
        <fgColor theme="0" tint="-0.14999847407452621"/>
        <bgColor indexed="64"/>
      </patternFill>
    </fill>
    <fill>
      <patternFill patternType="solid">
        <fgColor theme="1" tint="0.499984740745262"/>
        <bgColor indexed="64"/>
      </patternFill>
    </fill>
    <fill>
      <patternFill patternType="solid">
        <fgColor theme="3"/>
        <bgColor indexed="64"/>
      </patternFill>
    </fill>
    <fill>
      <patternFill patternType="solid">
        <fgColor rgb="FFFF0000"/>
        <bgColor indexed="64"/>
      </patternFill>
    </fill>
    <fill>
      <patternFill patternType="solid">
        <fgColor theme="2"/>
        <bgColor indexed="64"/>
      </patternFill>
    </fill>
    <fill>
      <patternFill patternType="solid">
        <fgColor rgb="FFFFC000"/>
        <bgColor indexed="64"/>
      </patternFill>
    </fill>
    <fill>
      <patternFill patternType="solid">
        <fgColor rgb="FFFFFFFF"/>
        <bgColor indexed="64"/>
      </patternFill>
    </fill>
    <fill>
      <patternFill patternType="solid">
        <fgColor theme="5"/>
        <bgColor indexed="64"/>
      </patternFill>
    </fill>
    <fill>
      <patternFill patternType="solid">
        <fgColor rgb="FF0070C0"/>
        <bgColor indexed="64"/>
      </patternFill>
    </fill>
    <fill>
      <patternFill patternType="solid">
        <fgColor theme="7" tint="0.39997558519241921"/>
        <bgColor indexed="64"/>
      </patternFill>
    </fill>
    <fill>
      <patternFill patternType="solid">
        <fgColor theme="9" tint="0.39997558519241921"/>
        <bgColor indexed="64"/>
      </patternFill>
    </fill>
    <fill>
      <patternFill patternType="solid">
        <fgColor rgb="FFFFFF00"/>
        <bgColor indexed="64"/>
      </patternFill>
    </fill>
    <fill>
      <patternFill patternType="solid">
        <fgColor rgb="FF003E7E"/>
        <bgColor indexed="64"/>
      </patternFill>
    </fill>
    <fill>
      <patternFill patternType="solid">
        <fgColor rgb="FF92D050"/>
        <bgColor indexed="64"/>
      </patternFill>
    </fill>
  </fills>
  <borders count="68">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style="thin">
        <color rgb="FF000000"/>
      </right>
      <top/>
      <bottom style="thin">
        <color rgb="FF000000"/>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top/>
      <bottom/>
      <diagonal/>
    </border>
    <border>
      <left style="thin">
        <color indexed="64"/>
      </left>
      <right/>
      <top style="thin">
        <color indexed="64"/>
      </top>
      <bottom style="medium">
        <color indexed="64"/>
      </bottom>
      <diagonal/>
    </border>
    <border>
      <left/>
      <right/>
      <top style="medium">
        <color indexed="64"/>
      </top>
      <bottom/>
      <diagonal/>
    </border>
    <border>
      <left style="thin">
        <color indexed="64"/>
      </left>
      <right style="thin">
        <color indexed="64"/>
      </right>
      <top style="medium">
        <color indexed="64"/>
      </top>
      <bottom style="medium">
        <color indexed="64"/>
      </bottom>
      <diagonal/>
    </border>
    <border>
      <left style="thin">
        <color indexed="64"/>
      </left>
      <right/>
      <top style="thin">
        <color indexed="64"/>
      </top>
      <bottom/>
      <diagonal/>
    </border>
    <border>
      <left style="thin">
        <color indexed="64"/>
      </left>
      <right/>
      <top style="medium">
        <color indexed="64"/>
      </top>
      <bottom style="medium">
        <color indexed="64"/>
      </bottom>
      <diagonal/>
    </border>
    <border>
      <left style="thin">
        <color indexed="64"/>
      </left>
      <right style="thin">
        <color indexed="64"/>
      </right>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thin">
        <color indexed="64"/>
      </bottom>
      <diagonal/>
    </border>
    <border>
      <left/>
      <right style="medium">
        <color indexed="64"/>
      </right>
      <top/>
      <bottom style="thin">
        <color indexed="64"/>
      </bottom>
      <diagonal/>
    </border>
    <border>
      <left/>
      <right style="thin">
        <color indexed="64"/>
      </right>
      <top style="thin">
        <color indexed="64"/>
      </top>
      <bottom/>
      <diagonal/>
    </border>
    <border>
      <left style="thin">
        <color indexed="64"/>
      </left>
      <right style="medium">
        <color indexed="64"/>
      </right>
      <top style="thin">
        <color indexed="64"/>
      </top>
      <bottom/>
      <diagonal/>
    </border>
    <border>
      <left/>
      <right style="thin">
        <color indexed="64"/>
      </right>
      <top/>
      <bottom/>
      <diagonal/>
    </border>
    <border>
      <left style="thin">
        <color indexed="64"/>
      </left>
      <right style="medium">
        <color indexed="64"/>
      </right>
      <top/>
      <bottom/>
      <diagonal/>
    </border>
    <border>
      <left style="medium">
        <color indexed="64"/>
      </left>
      <right/>
      <top/>
      <bottom style="medium">
        <color indexed="64"/>
      </bottom>
      <diagonal/>
    </border>
    <border>
      <left style="thin">
        <color indexed="64"/>
      </left>
      <right style="medium">
        <color indexed="64"/>
      </right>
      <top/>
      <bottom style="medium">
        <color indexed="64"/>
      </bottom>
      <diagonal/>
    </border>
    <border>
      <left style="thin">
        <color indexed="64"/>
      </left>
      <right style="medium">
        <color indexed="64"/>
      </right>
      <top style="medium">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rgb="FF000000"/>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bottom/>
      <diagonal/>
    </border>
    <border>
      <left/>
      <right style="medium">
        <color rgb="FF000000"/>
      </right>
      <top/>
      <bottom/>
      <diagonal/>
    </border>
    <border>
      <left style="medium">
        <color rgb="FF000000"/>
      </left>
      <right style="medium">
        <color rgb="FF000000"/>
      </right>
      <top style="medium">
        <color rgb="FF000000"/>
      </top>
      <bottom/>
      <diagonal/>
    </border>
    <border>
      <left style="thin">
        <color indexed="64"/>
      </left>
      <right/>
      <top/>
      <bottom style="thin">
        <color indexed="64"/>
      </bottom>
      <diagonal/>
    </border>
    <border>
      <left style="thin">
        <color indexed="64"/>
      </left>
      <right style="thin">
        <color indexed="64"/>
      </right>
      <top style="medium">
        <color indexed="64"/>
      </top>
      <bottom/>
      <diagonal/>
    </border>
    <border>
      <left style="thin">
        <color indexed="64"/>
      </left>
      <right style="thin">
        <color indexed="64"/>
      </right>
      <top/>
      <bottom style="medium">
        <color indexed="64"/>
      </bottom>
      <diagonal/>
    </border>
    <border>
      <left style="medium">
        <color indexed="64"/>
      </left>
      <right style="thin">
        <color indexed="64"/>
      </right>
      <top style="medium">
        <color indexed="64"/>
      </top>
      <bottom/>
      <diagonal/>
    </border>
    <border>
      <left style="medium">
        <color indexed="64"/>
      </left>
      <right style="thin">
        <color indexed="64"/>
      </right>
      <top/>
      <bottom style="medium">
        <color indexed="64"/>
      </bottom>
      <diagonal/>
    </border>
    <border>
      <left style="medium">
        <color indexed="64"/>
      </left>
      <right style="thin">
        <color indexed="64"/>
      </right>
      <top/>
      <bottom/>
      <diagonal/>
    </border>
    <border>
      <left/>
      <right style="medium">
        <color indexed="64"/>
      </right>
      <top style="medium">
        <color indexed="64"/>
      </top>
      <bottom style="medium">
        <color indexed="64"/>
      </bottom>
      <diagonal/>
    </border>
    <border>
      <left style="medium">
        <color indexed="64"/>
      </left>
      <right style="thin">
        <color indexed="64"/>
      </right>
      <top style="thin">
        <color indexed="64"/>
      </top>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top/>
      <bottom style="thin">
        <color indexed="64"/>
      </bottom>
      <diagonal/>
    </border>
    <border>
      <left/>
      <right/>
      <top/>
      <bottom style="double">
        <color indexed="64"/>
      </bottom>
      <diagonal/>
    </border>
    <border>
      <left/>
      <right/>
      <top style="medium">
        <color indexed="64"/>
      </top>
      <bottom style="double">
        <color indexed="64"/>
      </bottom>
      <diagonal/>
    </border>
    <border>
      <left/>
      <right/>
      <top style="double">
        <color indexed="64"/>
      </top>
      <bottom style="double">
        <color indexed="64"/>
      </bottom>
      <diagonal/>
    </border>
  </borders>
  <cellStyleXfs count="3">
    <xf numFmtId="0" fontId="0" fillId="0" borderId="0"/>
    <xf numFmtId="0" fontId="2" fillId="0" borderId="0"/>
    <xf numFmtId="9" fontId="47" fillId="0" borderId="0" applyFont="0" applyFill="0" applyBorder="0" applyAlignment="0" applyProtection="0"/>
  </cellStyleXfs>
  <cellXfs count="298">
    <xf numFmtId="0" fontId="0" fillId="0" borderId="0" xfId="0"/>
    <xf numFmtId="0" fontId="3" fillId="2" borderId="0" xfId="1" applyFont="1" applyFill="1" applyAlignment="1">
      <alignment horizontal="center" wrapText="1"/>
    </xf>
    <xf numFmtId="0" fontId="4" fillId="2" borderId="0" xfId="1" applyFont="1" applyFill="1" applyAlignment="1">
      <alignment horizontal="center" wrapText="1"/>
    </xf>
    <xf numFmtId="0" fontId="4" fillId="2" borderId="0" xfId="1" applyFont="1" applyFill="1" applyAlignment="1">
      <alignment wrapText="1"/>
    </xf>
    <xf numFmtId="0" fontId="3" fillId="2" borderId="0" xfId="1" applyFont="1" applyFill="1" applyAlignment="1">
      <alignment horizontal="center" vertical="center" wrapText="1"/>
    </xf>
    <xf numFmtId="0" fontId="4" fillId="0" borderId="0" xfId="1" applyFont="1" applyAlignment="1">
      <alignment wrapText="1"/>
    </xf>
    <xf numFmtId="0" fontId="4" fillId="2" borderId="0" xfId="1" applyFont="1" applyFill="1" applyAlignment="1">
      <alignment horizontal="center" vertical="center" wrapText="1"/>
    </xf>
    <xf numFmtId="0" fontId="4" fillId="2" borderId="0" xfId="1" applyFont="1" applyFill="1" applyAlignment="1">
      <alignment vertical="center" wrapText="1"/>
    </xf>
    <xf numFmtId="0" fontId="8" fillId="2" borderId="0" xfId="1" applyFont="1" applyFill="1" applyAlignment="1">
      <alignment horizontal="center" vertical="center" wrapText="1"/>
    </xf>
    <xf numFmtId="0" fontId="4" fillId="2" borderId="0" xfId="1" applyFont="1" applyFill="1" applyAlignment="1">
      <alignment vertical="center"/>
    </xf>
    <xf numFmtId="0" fontId="4" fillId="0" borderId="0" xfId="1" applyFont="1" applyAlignment="1">
      <alignment vertical="center" wrapText="1"/>
    </xf>
    <xf numFmtId="0" fontId="9" fillId="0" borderId="1" xfId="1" applyFont="1" applyBorder="1" applyAlignment="1">
      <alignment horizontal="left" vertical="center" wrapText="1" readingOrder="1"/>
    </xf>
    <xf numFmtId="0" fontId="11" fillId="4" borderId="1" xfId="1" applyFont="1" applyFill="1" applyBorder="1" applyAlignment="1">
      <alignment horizontal="center" vertical="center" wrapText="1"/>
    </xf>
    <xf numFmtId="0" fontId="10" fillId="0" borderId="1" xfId="1" applyFont="1" applyBorder="1" applyAlignment="1">
      <alignment horizontal="left" vertical="center" wrapText="1" readingOrder="1"/>
    </xf>
    <xf numFmtId="0" fontId="4" fillId="2" borderId="0" xfId="1" applyFont="1" applyFill="1"/>
    <xf numFmtId="0" fontId="4" fillId="0" borderId="0" xfId="1" applyFont="1" applyAlignment="1">
      <alignment horizontal="center" wrapText="1"/>
    </xf>
    <xf numFmtId="0" fontId="4" fillId="0" borderId="0" xfId="1" applyFont="1" applyAlignment="1">
      <alignment horizontal="center" vertical="center" wrapText="1"/>
    </xf>
    <xf numFmtId="0" fontId="9" fillId="0" borderId="1" xfId="1" applyFont="1" applyBorder="1" applyAlignment="1">
      <alignment horizontal="center" vertical="center" wrapText="1" readingOrder="1"/>
    </xf>
    <xf numFmtId="0" fontId="12" fillId="0" borderId="1" xfId="1" applyFont="1" applyBorder="1" applyAlignment="1">
      <alignment horizontal="left" vertical="center" wrapText="1" readingOrder="1"/>
    </xf>
    <xf numFmtId="0" fontId="10" fillId="0" borderId="1" xfId="1" applyFont="1" applyBorder="1" applyAlignment="1">
      <alignment horizontal="left" vertical="center" wrapText="1" indent="1" readingOrder="1"/>
    </xf>
    <xf numFmtId="0" fontId="10" fillId="0" borderId="1" xfId="1" applyFont="1" applyBorder="1" applyAlignment="1">
      <alignment horizontal="center" vertical="center" wrapText="1" readingOrder="1"/>
    </xf>
    <xf numFmtId="0" fontId="10" fillId="0" borderId="5" xfId="1" applyFont="1" applyBorder="1" applyAlignment="1">
      <alignment horizontal="left" vertical="center" wrapText="1" readingOrder="1"/>
    </xf>
    <xf numFmtId="0" fontId="11" fillId="4" borderId="5" xfId="1" applyFont="1" applyFill="1" applyBorder="1" applyAlignment="1">
      <alignment horizontal="center" vertical="center" wrapText="1"/>
    </xf>
    <xf numFmtId="0" fontId="11" fillId="4" borderId="2" xfId="1" applyFont="1" applyFill="1" applyBorder="1" applyAlignment="1">
      <alignment horizontal="center" vertical="center" wrapText="1"/>
    </xf>
    <xf numFmtId="0" fontId="4" fillId="2" borderId="7" xfId="1" applyFont="1" applyFill="1" applyBorder="1" applyAlignment="1">
      <alignment horizontal="center" wrapText="1"/>
    </xf>
    <xf numFmtId="0" fontId="4" fillId="2" borderId="8" xfId="1" applyFont="1" applyFill="1" applyBorder="1" applyAlignment="1">
      <alignment horizontal="center" wrapText="1"/>
    </xf>
    <xf numFmtId="0" fontId="4" fillId="0" borderId="0" xfId="1" applyFont="1" applyAlignment="1">
      <alignment vertical="center"/>
    </xf>
    <xf numFmtId="0" fontId="10" fillId="2" borderId="1" xfId="1" applyFont="1" applyFill="1" applyBorder="1" applyAlignment="1">
      <alignment horizontal="center" vertical="center" wrapText="1" readingOrder="1"/>
    </xf>
    <xf numFmtId="0" fontId="9" fillId="0" borderId="5" xfId="1" applyFont="1" applyBorder="1" applyAlignment="1">
      <alignment horizontal="center" vertical="center" wrapText="1" readingOrder="1"/>
    </xf>
    <xf numFmtId="0" fontId="4" fillId="2" borderId="9" xfId="1" applyFont="1" applyFill="1" applyBorder="1" applyAlignment="1">
      <alignment horizontal="center" vertical="center" wrapText="1"/>
    </xf>
    <xf numFmtId="0" fontId="4" fillId="2" borderId="10" xfId="1" applyFont="1" applyFill="1" applyBorder="1" applyAlignment="1">
      <alignment horizontal="center" vertical="center" wrapText="1"/>
    </xf>
    <xf numFmtId="0" fontId="10" fillId="0" borderId="4" xfId="1" applyFont="1" applyBorder="1" applyAlignment="1">
      <alignment horizontal="center" vertical="center" wrapText="1" readingOrder="1"/>
    </xf>
    <xf numFmtId="0" fontId="4" fillId="2" borderId="11" xfId="1" applyFont="1" applyFill="1" applyBorder="1" applyAlignment="1">
      <alignment horizontal="center" vertical="center" wrapText="1"/>
    </xf>
    <xf numFmtId="0" fontId="4" fillId="2" borderId="12" xfId="1" applyFont="1" applyFill="1" applyBorder="1" applyAlignment="1">
      <alignment horizontal="center" vertical="center" wrapText="1"/>
    </xf>
    <xf numFmtId="0" fontId="2" fillId="0" borderId="0" xfId="1"/>
    <xf numFmtId="0" fontId="4" fillId="0" borderId="0" xfId="1" applyFont="1"/>
    <xf numFmtId="0" fontId="13" fillId="8" borderId="1" xfId="1" applyFont="1" applyFill="1" applyBorder="1" applyAlignment="1">
      <alignment horizontal="left"/>
    </xf>
    <xf numFmtId="0" fontId="14" fillId="8" borderId="1" xfId="1" applyFont="1" applyFill="1" applyBorder="1" applyAlignment="1">
      <alignment horizontal="center" vertical="center"/>
    </xf>
    <xf numFmtId="0" fontId="15" fillId="8" borderId="1" xfId="1" applyFont="1" applyFill="1" applyBorder="1" applyAlignment="1">
      <alignment horizontal="center" vertical="center"/>
    </xf>
    <xf numFmtId="0" fontId="15" fillId="8" borderId="1" xfId="1" applyFont="1" applyFill="1" applyBorder="1" applyAlignment="1">
      <alignment horizontal="center" vertical="center" wrapText="1"/>
    </xf>
    <xf numFmtId="0" fontId="2" fillId="0" borderId="0" xfId="1" applyAlignment="1">
      <alignment wrapText="1"/>
    </xf>
    <xf numFmtId="0" fontId="2" fillId="0" borderId="1" xfId="1" applyBorder="1" applyAlignment="1">
      <alignment horizontal="left" vertical="center" wrapText="1"/>
    </xf>
    <xf numFmtId="0" fontId="15" fillId="8" borderId="6" xfId="1" applyFont="1" applyFill="1" applyBorder="1" applyAlignment="1">
      <alignment horizontal="center" vertical="center" wrapText="1"/>
    </xf>
    <xf numFmtId="0" fontId="19" fillId="0" borderId="6" xfId="1" applyFont="1" applyBorder="1" applyAlignment="1">
      <alignment vertical="center" wrapText="1"/>
    </xf>
    <xf numFmtId="0" fontId="20" fillId="0" borderId="1" xfId="1" applyFont="1" applyBorder="1" applyAlignment="1">
      <alignment vertical="top" wrapText="1"/>
    </xf>
    <xf numFmtId="0" fontId="2" fillId="0" borderId="13" xfId="1" applyBorder="1" applyAlignment="1">
      <alignment horizontal="left" vertical="center" wrapText="1"/>
    </xf>
    <xf numFmtId="0" fontId="2" fillId="0" borderId="13" xfId="1" applyBorder="1" applyAlignment="1">
      <alignment horizontal="center" vertical="center"/>
    </xf>
    <xf numFmtId="0" fontId="22" fillId="0" borderId="14" xfId="1" applyFont="1" applyBorder="1" applyAlignment="1">
      <alignment horizontal="left" vertical="center" wrapText="1"/>
    </xf>
    <xf numFmtId="0" fontId="20" fillId="0" borderId="0" xfId="1" applyFont="1" applyAlignment="1">
      <alignment horizontal="left" vertical="center" wrapText="1"/>
    </xf>
    <xf numFmtId="0" fontId="19" fillId="0" borderId="1" xfId="1" applyFont="1" applyBorder="1" applyAlignment="1">
      <alignment vertical="center" wrapText="1"/>
    </xf>
    <xf numFmtId="0" fontId="24" fillId="0" borderId="1" xfId="1" applyFont="1" applyBorder="1" applyAlignment="1">
      <alignment horizontal="center" vertical="center"/>
    </xf>
    <xf numFmtId="0" fontId="22" fillId="0" borderId="2" xfId="1" applyFont="1" applyBorder="1" applyAlignment="1">
      <alignment horizontal="left" vertical="center" wrapText="1"/>
    </xf>
    <xf numFmtId="0" fontId="25" fillId="0" borderId="1" xfId="1" applyFont="1" applyBorder="1" applyAlignment="1">
      <alignment horizontal="left" vertical="center" wrapText="1"/>
    </xf>
    <xf numFmtId="0" fontId="20" fillId="3" borderId="0" xfId="1" applyFont="1" applyFill="1" applyAlignment="1">
      <alignment horizontal="left" vertical="center" wrapText="1"/>
    </xf>
    <xf numFmtId="0" fontId="2" fillId="0" borderId="1" xfId="1" applyBorder="1" applyAlignment="1">
      <alignment horizontal="center" vertical="center"/>
    </xf>
    <xf numFmtId="0" fontId="2" fillId="2" borderId="1" xfId="1" applyFill="1" applyBorder="1" applyAlignment="1">
      <alignment horizontal="left" vertical="center" wrapText="1"/>
    </xf>
    <xf numFmtId="0" fontId="26" fillId="0" borderId="2" xfId="1" applyFont="1" applyBorder="1" applyAlignment="1">
      <alignment horizontal="left" vertical="center" wrapText="1"/>
    </xf>
    <xf numFmtId="0" fontId="2" fillId="7" borderId="0" xfId="1" applyFill="1"/>
    <xf numFmtId="0" fontId="27" fillId="0" borderId="1" xfId="1" applyFont="1" applyBorder="1" applyAlignment="1">
      <alignment horizontal="left" vertical="center" wrapText="1"/>
    </xf>
    <xf numFmtId="0" fontId="2" fillId="9" borderId="0" xfId="1" applyFill="1"/>
    <xf numFmtId="0" fontId="15" fillId="8" borderId="15" xfId="1" applyFont="1" applyFill="1" applyBorder="1" applyAlignment="1">
      <alignment horizontal="center" vertical="center" wrapText="1"/>
    </xf>
    <xf numFmtId="0" fontId="24" fillId="0" borderId="13" xfId="1" applyFont="1" applyBorder="1" applyAlignment="1">
      <alignment horizontal="center" vertical="center"/>
    </xf>
    <xf numFmtId="0" fontId="2" fillId="0" borderId="1" xfId="1" applyBorder="1" applyAlignment="1">
      <alignment horizontal="left" vertical="center"/>
    </xf>
    <xf numFmtId="0" fontId="15" fillId="8" borderId="13" xfId="1" applyFont="1" applyFill="1" applyBorder="1" applyAlignment="1">
      <alignment horizontal="center" vertical="center" wrapText="1"/>
    </xf>
    <xf numFmtId="0" fontId="27" fillId="2" borderId="13" xfId="1" applyFont="1" applyFill="1" applyBorder="1" applyAlignment="1">
      <alignment horizontal="left" vertical="center" wrapText="1"/>
    </xf>
    <xf numFmtId="0" fontId="2" fillId="0" borderId="5" xfId="1" applyBorder="1" applyAlignment="1">
      <alignment vertical="center" wrapText="1"/>
    </xf>
    <xf numFmtId="0" fontId="19" fillId="0" borderId="1" xfId="1" applyFont="1" applyBorder="1" applyAlignment="1">
      <alignment horizontal="left" vertical="center" wrapText="1"/>
    </xf>
    <xf numFmtId="0" fontId="20" fillId="7" borderId="0" xfId="1" applyFont="1" applyFill="1" applyAlignment="1">
      <alignment horizontal="left" vertical="center" wrapText="1"/>
    </xf>
    <xf numFmtId="0" fontId="20" fillId="7" borderId="2" xfId="1" applyFont="1" applyFill="1" applyBorder="1" applyAlignment="1">
      <alignment horizontal="left" vertical="center" wrapText="1"/>
    </xf>
    <xf numFmtId="0" fontId="19" fillId="2" borderId="1" xfId="1" applyFont="1" applyFill="1" applyBorder="1" applyAlignment="1">
      <alignment horizontal="left" vertical="center" wrapText="1"/>
    </xf>
    <xf numFmtId="0" fontId="24" fillId="2" borderId="1" xfId="1" applyFont="1" applyFill="1" applyBorder="1" applyAlignment="1">
      <alignment horizontal="center" vertical="center"/>
    </xf>
    <xf numFmtId="0" fontId="27" fillId="2" borderId="1" xfId="1" applyFont="1" applyFill="1" applyBorder="1" applyAlignment="1">
      <alignment horizontal="left" vertical="center" wrapText="1"/>
    </xf>
    <xf numFmtId="0" fontId="2" fillId="10" borderId="1" xfId="1" applyFill="1" applyBorder="1" applyAlignment="1">
      <alignment horizontal="left" vertical="center" wrapText="1"/>
    </xf>
    <xf numFmtId="0" fontId="2" fillId="2" borderId="1" xfId="1" applyFill="1" applyBorder="1" applyAlignment="1">
      <alignment horizontal="center" vertical="center"/>
    </xf>
    <xf numFmtId="0" fontId="2" fillId="2" borderId="13" xfId="1" applyFill="1" applyBorder="1" applyAlignment="1">
      <alignment horizontal="center" vertical="center"/>
    </xf>
    <xf numFmtId="0" fontId="22" fillId="0" borderId="17" xfId="1" applyFont="1" applyBorder="1" applyAlignment="1">
      <alignment horizontal="left" vertical="center" wrapText="1"/>
    </xf>
    <xf numFmtId="0" fontId="27" fillId="0" borderId="13" xfId="1" applyFont="1" applyBorder="1" applyAlignment="1">
      <alignment horizontal="left" vertical="center" wrapText="1"/>
    </xf>
    <xf numFmtId="0" fontId="21" fillId="0" borderId="1" xfId="1" applyFont="1" applyBorder="1" applyAlignment="1">
      <alignment vertical="top"/>
    </xf>
    <xf numFmtId="0" fontId="2" fillId="2" borderId="15" xfId="1" applyFill="1" applyBorder="1" applyAlignment="1">
      <alignment horizontal="left" vertical="center" wrapText="1"/>
    </xf>
    <xf numFmtId="0" fontId="2" fillId="0" borderId="15" xfId="1" applyBorder="1" applyAlignment="1">
      <alignment horizontal="center" vertical="center"/>
    </xf>
    <xf numFmtId="0" fontId="2" fillId="10" borderId="13" xfId="1" applyFill="1" applyBorder="1" applyAlignment="1">
      <alignment horizontal="left" vertical="center" wrapText="1"/>
    </xf>
    <xf numFmtId="0" fontId="27" fillId="0" borderId="15" xfId="1" applyFont="1" applyBorder="1" applyAlignment="1">
      <alignment horizontal="left" vertical="center" wrapText="1"/>
    </xf>
    <xf numFmtId="0" fontId="26" fillId="0" borderId="17" xfId="1" applyFont="1" applyBorder="1" applyAlignment="1">
      <alignment horizontal="left" vertical="center" wrapText="1"/>
    </xf>
    <xf numFmtId="0" fontId="27" fillId="0" borderId="18" xfId="1" applyFont="1" applyBorder="1" applyAlignment="1">
      <alignment vertical="center" wrapText="1"/>
    </xf>
    <xf numFmtId="0" fontId="2" fillId="10" borderId="15" xfId="1" applyFill="1" applyBorder="1" applyAlignment="1">
      <alignment horizontal="left" vertical="center" wrapText="1"/>
    </xf>
    <xf numFmtId="0" fontId="2" fillId="2" borderId="15" xfId="1" applyFill="1" applyBorder="1" applyAlignment="1">
      <alignment horizontal="center" vertical="center"/>
    </xf>
    <xf numFmtId="0" fontId="2" fillId="2" borderId="13" xfId="1" applyFill="1" applyBorder="1" applyAlignment="1">
      <alignment horizontal="left" vertical="center" wrapText="1"/>
    </xf>
    <xf numFmtId="0" fontId="19" fillId="2" borderId="15" xfId="1" applyFont="1" applyFill="1" applyBorder="1" applyAlignment="1">
      <alignment horizontal="left" vertical="center" wrapText="1"/>
    </xf>
    <xf numFmtId="0" fontId="2" fillId="0" borderId="0" xfId="1" applyAlignment="1">
      <alignment vertical="top"/>
    </xf>
    <xf numFmtId="0" fontId="2" fillId="2" borderId="19" xfId="1" applyFill="1" applyBorder="1" applyAlignment="1">
      <alignment horizontal="left" vertical="center" wrapText="1"/>
    </xf>
    <xf numFmtId="0" fontId="2" fillId="0" borderId="19" xfId="1" applyBorder="1" applyAlignment="1">
      <alignment horizontal="center" vertical="center"/>
    </xf>
    <xf numFmtId="0" fontId="17" fillId="2" borderId="17" xfId="1" applyFont="1" applyFill="1" applyBorder="1" applyAlignment="1">
      <alignment horizontal="left" vertical="center" wrapText="1"/>
    </xf>
    <xf numFmtId="0" fontId="2" fillId="2" borderId="0" xfId="1" applyFill="1" applyAlignment="1">
      <alignment horizontal="left" vertical="center" wrapText="1"/>
    </xf>
    <xf numFmtId="0" fontId="15" fillId="8" borderId="19" xfId="1" applyFont="1" applyFill="1" applyBorder="1" applyAlignment="1">
      <alignment horizontal="center" vertical="center" wrapText="1"/>
    </xf>
    <xf numFmtId="0" fontId="27" fillId="2" borderId="19" xfId="1" applyFont="1" applyFill="1" applyBorder="1" applyAlignment="1">
      <alignment horizontal="left" vertical="center" wrapText="1"/>
    </xf>
    <xf numFmtId="0" fontId="20" fillId="0" borderId="21" xfId="1" applyFont="1" applyBorder="1" applyAlignment="1">
      <alignment horizontal="left" vertical="center" wrapText="1"/>
    </xf>
    <xf numFmtId="0" fontId="2" fillId="0" borderId="22" xfId="1" applyBorder="1" applyAlignment="1">
      <alignment horizontal="center" vertical="center"/>
    </xf>
    <xf numFmtId="0" fontId="20" fillId="11" borderId="2" xfId="1" applyFont="1" applyFill="1" applyBorder="1" applyAlignment="1">
      <alignment horizontal="left" vertical="center" wrapText="1"/>
    </xf>
    <xf numFmtId="0" fontId="20" fillId="11" borderId="0" xfId="1" applyFont="1" applyFill="1" applyAlignment="1">
      <alignment horizontal="left" vertical="center" wrapText="1"/>
    </xf>
    <xf numFmtId="0" fontId="15" fillId="8" borderId="0" xfId="1" applyFont="1" applyFill="1"/>
    <xf numFmtId="0" fontId="18" fillId="0" borderId="0" xfId="1" applyFont="1"/>
    <xf numFmtId="0" fontId="20" fillId="11" borderId="17" xfId="1" applyFont="1" applyFill="1" applyBorder="1" applyAlignment="1">
      <alignment horizontal="left" vertical="center" wrapText="1"/>
    </xf>
    <xf numFmtId="0" fontId="2" fillId="0" borderId="0" xfId="1" applyAlignment="1">
      <alignment vertical="top" wrapText="1"/>
    </xf>
    <xf numFmtId="0" fontId="20" fillId="0" borderId="17" xfId="1" applyFont="1" applyBorder="1" applyAlignment="1">
      <alignment horizontal="left" vertical="center" wrapText="1"/>
    </xf>
    <xf numFmtId="0" fontId="2" fillId="0" borderId="25" xfId="1" applyBorder="1"/>
    <xf numFmtId="0" fontId="2" fillId="0" borderId="26" xfId="1" applyBorder="1"/>
    <xf numFmtId="0" fontId="30" fillId="12" borderId="27" xfId="1" applyFont="1" applyFill="1" applyBorder="1" applyAlignment="1">
      <alignment horizontal="center" vertical="center" wrapText="1" readingOrder="1"/>
    </xf>
    <xf numFmtId="0" fontId="31" fillId="12" borderId="1" xfId="1" applyFont="1" applyFill="1" applyBorder="1" applyAlignment="1">
      <alignment horizontal="center" vertical="center" wrapText="1" readingOrder="1"/>
    </xf>
    <xf numFmtId="0" fontId="31" fillId="12" borderId="28" xfId="1" applyFont="1" applyFill="1" applyBorder="1" applyAlignment="1">
      <alignment horizontal="center" vertical="center" wrapText="1" readingOrder="1"/>
    </xf>
    <xf numFmtId="0" fontId="32" fillId="0" borderId="27" xfId="1" applyFont="1" applyBorder="1" applyAlignment="1">
      <alignment horizontal="center"/>
    </xf>
    <xf numFmtId="0" fontId="32" fillId="0" borderId="1" xfId="1" applyFont="1" applyBorder="1" applyAlignment="1">
      <alignment horizontal="center"/>
    </xf>
    <xf numFmtId="0" fontId="32" fillId="0" borderId="28" xfId="1" applyFont="1" applyBorder="1" applyAlignment="1">
      <alignment horizontal="center"/>
    </xf>
    <xf numFmtId="0" fontId="30" fillId="2" borderId="27" xfId="1" applyFont="1" applyFill="1" applyBorder="1" applyAlignment="1">
      <alignment horizontal="center" vertical="center" wrapText="1" readingOrder="1"/>
    </xf>
    <xf numFmtId="0" fontId="27" fillId="11" borderId="1" xfId="1" applyFont="1" applyFill="1" applyBorder="1" applyAlignment="1">
      <alignment horizontal="center" vertical="center" wrapText="1" readingOrder="1"/>
    </xf>
    <xf numFmtId="0" fontId="27" fillId="13" borderId="1" xfId="1" applyFont="1" applyFill="1" applyBorder="1" applyAlignment="1">
      <alignment horizontal="center" vertical="center" wrapText="1" readingOrder="1"/>
    </xf>
    <xf numFmtId="0" fontId="27" fillId="14" borderId="28" xfId="1" applyFont="1" applyFill="1" applyBorder="1" applyAlignment="1">
      <alignment horizontal="center" vertical="center" wrapText="1" readingOrder="1"/>
    </xf>
    <xf numFmtId="0" fontId="36" fillId="0" borderId="0" xfId="1" applyFont="1"/>
    <xf numFmtId="0" fontId="30" fillId="2" borderId="29" xfId="1" applyFont="1" applyFill="1" applyBorder="1" applyAlignment="1">
      <alignment horizontal="center" vertical="center" wrapText="1" readingOrder="1"/>
    </xf>
    <xf numFmtId="0" fontId="27" fillId="11" borderId="15" xfId="1" applyFont="1" applyFill="1" applyBorder="1" applyAlignment="1">
      <alignment horizontal="center" vertical="center" wrapText="1" readingOrder="1"/>
    </xf>
    <xf numFmtId="0" fontId="27" fillId="13" borderId="15" xfId="1" applyFont="1" applyFill="1" applyBorder="1" applyAlignment="1">
      <alignment horizontal="center" vertical="center" wrapText="1" readingOrder="1"/>
    </xf>
    <xf numFmtId="0" fontId="27" fillId="14" borderId="30" xfId="1" applyFont="1" applyFill="1" applyBorder="1" applyAlignment="1">
      <alignment horizontal="center" vertical="center" wrapText="1" readingOrder="1"/>
    </xf>
    <xf numFmtId="0" fontId="19" fillId="0" borderId="25" xfId="1" applyFont="1" applyBorder="1"/>
    <xf numFmtId="0" fontId="38" fillId="0" borderId="0" xfId="1" applyFont="1" applyAlignment="1">
      <alignment horizontal="center" wrapText="1"/>
    </xf>
    <xf numFmtId="0" fontId="38" fillId="0" borderId="31" xfId="1" applyFont="1" applyBorder="1" applyAlignment="1">
      <alignment horizontal="center" wrapText="1"/>
    </xf>
    <xf numFmtId="0" fontId="38" fillId="0" borderId="32" xfId="1" applyFont="1" applyBorder="1" applyAlignment="1">
      <alignment horizontal="center" wrapText="1"/>
    </xf>
    <xf numFmtId="0" fontId="19" fillId="15" borderId="5" xfId="1" applyFont="1" applyFill="1" applyBorder="1" applyAlignment="1">
      <alignment horizontal="center"/>
    </xf>
    <xf numFmtId="0" fontId="19" fillId="0" borderId="33" xfId="1" applyFont="1" applyBorder="1" applyAlignment="1">
      <alignment horizontal="center"/>
    </xf>
    <xf numFmtId="0" fontId="19" fillId="0" borderId="34" xfId="1" applyFont="1" applyBorder="1" applyAlignment="1">
      <alignment horizontal="center" vertical="center"/>
    </xf>
    <xf numFmtId="0" fontId="19" fillId="15" borderId="22" xfId="1" applyFont="1" applyFill="1" applyBorder="1" applyAlignment="1">
      <alignment horizontal="center"/>
    </xf>
    <xf numFmtId="0" fontId="19" fillId="0" borderId="35" xfId="1" applyFont="1" applyBorder="1" applyAlignment="1">
      <alignment horizontal="center"/>
    </xf>
    <xf numFmtId="0" fontId="19" fillId="0" borderId="36" xfId="1" applyFont="1" applyBorder="1" applyAlignment="1">
      <alignment horizontal="center"/>
    </xf>
    <xf numFmtId="0" fontId="38" fillId="3" borderId="1" xfId="1" applyFont="1" applyFill="1" applyBorder="1" applyAlignment="1">
      <alignment horizontal="right" vertical="center" wrapText="1"/>
    </xf>
    <xf numFmtId="0" fontId="38" fillId="0" borderId="1" xfId="1" applyFont="1" applyBorder="1" applyAlignment="1">
      <alignment horizontal="left"/>
    </xf>
    <xf numFmtId="0" fontId="19" fillId="0" borderId="36" xfId="1" applyFont="1" applyBorder="1" applyAlignment="1">
      <alignment horizontal="center" vertical="center"/>
    </xf>
    <xf numFmtId="0" fontId="38" fillId="0" borderId="1" xfId="1" applyFont="1" applyBorder="1" applyAlignment="1">
      <alignment horizontal="right"/>
    </xf>
    <xf numFmtId="0" fontId="19" fillId="0" borderId="37" xfId="1" applyFont="1" applyBorder="1"/>
    <xf numFmtId="0" fontId="38" fillId="0" borderId="15" xfId="1" applyFont="1" applyBorder="1" applyAlignment="1">
      <alignment horizontal="right"/>
    </xf>
    <xf numFmtId="0" fontId="38" fillId="0" borderId="15" xfId="1" applyFont="1" applyBorder="1" applyAlignment="1">
      <alignment horizontal="left"/>
    </xf>
    <xf numFmtId="0" fontId="19" fillId="0" borderId="38" xfId="1" applyFont="1" applyBorder="1" applyAlignment="1">
      <alignment horizontal="center" vertical="center"/>
    </xf>
    <xf numFmtId="0" fontId="19" fillId="0" borderId="0" xfId="1" applyFont="1" applyAlignment="1">
      <alignment horizontal="right"/>
    </xf>
    <xf numFmtId="0" fontId="2" fillId="0" borderId="0" xfId="1" applyAlignment="1">
      <alignment horizontal="left"/>
    </xf>
    <xf numFmtId="0" fontId="21" fillId="8" borderId="5" xfId="1" applyFont="1" applyFill="1" applyBorder="1" applyAlignment="1">
      <alignment horizontal="center" vertical="center" wrapText="1"/>
    </xf>
    <xf numFmtId="0" fontId="21" fillId="0" borderId="25" xfId="1" applyFont="1" applyBorder="1" applyAlignment="1">
      <alignment horizontal="center" vertical="center" wrapText="1"/>
    </xf>
    <xf numFmtId="0" fontId="21" fillId="0" borderId="1" xfId="1" applyFont="1" applyBorder="1" applyAlignment="1">
      <alignment horizontal="center" vertical="center" wrapText="1"/>
    </xf>
    <xf numFmtId="0" fontId="20" fillId="0" borderId="1" xfId="1" applyFont="1" applyBorder="1" applyAlignment="1">
      <alignment horizontal="center" vertical="center" wrapText="1"/>
    </xf>
    <xf numFmtId="0" fontId="39" fillId="0" borderId="1" xfId="1" applyFont="1" applyBorder="1" applyAlignment="1">
      <alignment horizontal="left" vertical="center" wrapText="1"/>
    </xf>
    <xf numFmtId="0" fontId="20" fillId="0" borderId="1" xfId="1" applyFont="1" applyBorder="1" applyAlignment="1">
      <alignment vertical="center" wrapText="1"/>
    </xf>
    <xf numFmtId="0" fontId="21" fillId="0" borderId="6" xfId="1" applyFont="1" applyBorder="1" applyAlignment="1">
      <alignment horizontal="center" vertical="center" wrapText="1"/>
    </xf>
    <xf numFmtId="0" fontId="21" fillId="0" borderId="15" xfId="1" applyFont="1" applyBorder="1" applyAlignment="1">
      <alignment horizontal="center" vertical="center" wrapText="1"/>
    </xf>
    <xf numFmtId="0" fontId="20" fillId="0" borderId="13" xfId="1" applyFont="1" applyBorder="1" applyAlignment="1">
      <alignment horizontal="center" vertical="center" wrapText="1"/>
    </xf>
    <xf numFmtId="0" fontId="28" fillId="0" borderId="13" xfId="1" applyFont="1" applyBorder="1" applyAlignment="1">
      <alignment horizontal="left" vertical="center" wrapText="1"/>
    </xf>
    <xf numFmtId="0" fontId="28" fillId="0" borderId="1" xfId="1" applyFont="1" applyBorder="1" applyAlignment="1">
      <alignment horizontal="left" vertical="center" wrapText="1"/>
    </xf>
    <xf numFmtId="0" fontId="21" fillId="0" borderId="5" xfId="1" applyFont="1" applyBorder="1" applyAlignment="1">
      <alignment horizontal="center" vertical="center" wrapText="1"/>
    </xf>
    <xf numFmtId="0" fontId="21" fillId="2" borderId="40" xfId="1" applyFont="1" applyFill="1" applyBorder="1" applyAlignment="1">
      <alignment horizontal="center" vertical="center" wrapText="1"/>
    </xf>
    <xf numFmtId="0" fontId="21" fillId="2" borderId="41" xfId="1" applyFont="1" applyFill="1" applyBorder="1" applyAlignment="1">
      <alignment horizontal="center" vertical="center" wrapText="1"/>
    </xf>
    <xf numFmtId="0" fontId="20" fillId="2" borderId="41" xfId="1" applyFont="1" applyFill="1" applyBorder="1" applyAlignment="1">
      <alignment horizontal="center" vertical="top" wrapText="1"/>
    </xf>
    <xf numFmtId="0" fontId="40" fillId="2" borderId="41" xfId="1" applyFont="1" applyFill="1" applyBorder="1" applyAlignment="1">
      <alignment horizontal="right" vertical="top" wrapText="1"/>
    </xf>
    <xf numFmtId="0" fontId="21" fillId="0" borderId="42" xfId="1" applyFont="1" applyBorder="1" applyAlignment="1">
      <alignment horizontal="center" vertical="center" wrapText="1"/>
    </xf>
    <xf numFmtId="0" fontId="20" fillId="2" borderId="43" xfId="1" applyFont="1" applyFill="1" applyBorder="1" applyAlignment="1">
      <alignment horizontal="center" vertical="top" wrapText="1"/>
    </xf>
    <xf numFmtId="0" fontId="13" fillId="0" borderId="0" xfId="1" applyFont="1" applyAlignment="1">
      <alignment horizontal="center" vertical="center" wrapText="1"/>
    </xf>
    <xf numFmtId="0" fontId="13" fillId="0" borderId="0" xfId="1" applyFont="1"/>
    <xf numFmtId="1" fontId="20" fillId="0" borderId="26" xfId="1" applyNumberFormat="1" applyFont="1" applyBorder="1" applyAlignment="1">
      <alignment horizontal="center"/>
    </xf>
    <xf numFmtId="0" fontId="21" fillId="0" borderId="44" xfId="1" applyFont="1" applyBorder="1" applyAlignment="1">
      <alignment horizontal="center" vertical="center" wrapText="1"/>
    </xf>
    <xf numFmtId="0" fontId="20" fillId="0" borderId="44" xfId="1" applyFont="1" applyBorder="1"/>
    <xf numFmtId="0" fontId="20" fillId="0" borderId="44" xfId="1" applyFont="1" applyBorder="1" applyAlignment="1">
      <alignment horizontal="center"/>
    </xf>
    <xf numFmtId="0" fontId="20" fillId="0" borderId="45" xfId="1" applyFont="1" applyBorder="1" applyAlignment="1">
      <alignment horizontal="center"/>
    </xf>
    <xf numFmtId="0" fontId="2" fillId="0" borderId="0" xfId="1" applyAlignment="1">
      <alignment horizontal="center" vertical="center"/>
    </xf>
    <xf numFmtId="0" fontId="2" fillId="0" borderId="0" xfId="1" applyAlignment="1">
      <alignment horizontal="center"/>
    </xf>
    <xf numFmtId="0" fontId="13" fillId="8" borderId="0" xfId="1" applyFont="1" applyFill="1" applyAlignment="1">
      <alignment horizontal="center" vertical="center" wrapText="1"/>
    </xf>
    <xf numFmtId="14" fontId="2" fillId="0" borderId="0" xfId="1" applyNumberFormat="1" applyAlignment="1">
      <alignment horizontal="center"/>
    </xf>
    <xf numFmtId="0" fontId="44" fillId="0" borderId="48" xfId="0" applyFont="1" applyBorder="1" applyAlignment="1">
      <alignment vertical="center" wrapText="1"/>
    </xf>
    <xf numFmtId="0" fontId="43" fillId="0" borderId="49" xfId="0" applyFont="1" applyBorder="1" applyAlignment="1">
      <alignment vertical="center" wrapText="1"/>
    </xf>
    <xf numFmtId="0" fontId="43" fillId="0" borderId="51" xfId="0" applyFont="1" applyBorder="1" applyAlignment="1">
      <alignment vertical="center" wrapText="1"/>
    </xf>
    <xf numFmtId="0" fontId="43" fillId="0" borderId="51" xfId="0" applyFont="1" applyBorder="1" applyAlignment="1">
      <alignment horizontal="left" vertical="center" wrapText="1" indent="1"/>
    </xf>
    <xf numFmtId="0" fontId="43" fillId="0" borderId="49" xfId="0" applyFont="1" applyBorder="1" applyAlignment="1">
      <alignment horizontal="left" vertical="center" wrapText="1" indent="1"/>
    </xf>
    <xf numFmtId="0" fontId="21" fillId="0" borderId="37" xfId="1" applyFont="1" applyBorder="1" applyAlignment="1">
      <alignment horizontal="left" vertical="center"/>
    </xf>
    <xf numFmtId="1" fontId="21" fillId="0" borderId="26" xfId="1" applyNumberFormat="1" applyFont="1" applyBorder="1" applyAlignment="1">
      <alignment horizontal="center"/>
    </xf>
    <xf numFmtId="0" fontId="13" fillId="0" borderId="25" xfId="1" applyFont="1" applyBorder="1" applyAlignment="1">
      <alignment horizontal="right" vertical="center"/>
    </xf>
    <xf numFmtId="0" fontId="1" fillId="0" borderId="0" xfId="0" applyFont="1" applyAlignment="1">
      <alignment horizontal="center"/>
    </xf>
    <xf numFmtId="0" fontId="45" fillId="16" borderId="46" xfId="0" applyFont="1" applyFill="1" applyBorder="1" applyAlignment="1">
      <alignment horizontal="center" vertical="center" wrapText="1"/>
    </xf>
    <xf numFmtId="0" fontId="45" fillId="16" borderId="47" xfId="0" applyFont="1" applyFill="1" applyBorder="1" applyAlignment="1">
      <alignment horizontal="center" vertical="center" wrapText="1"/>
    </xf>
    <xf numFmtId="0" fontId="15" fillId="8" borderId="5" xfId="1" applyFont="1" applyFill="1" applyBorder="1" applyAlignment="1">
      <alignment horizontal="center" vertical="center" wrapText="1"/>
    </xf>
    <xf numFmtId="0" fontId="2" fillId="0" borderId="6" xfId="1" applyBorder="1" applyAlignment="1">
      <alignment horizontal="left" vertical="center" wrapText="1"/>
    </xf>
    <xf numFmtId="0" fontId="44" fillId="17" borderId="48" xfId="0" applyFont="1" applyFill="1" applyBorder="1" applyAlignment="1">
      <alignment vertical="center" wrapText="1"/>
    </xf>
    <xf numFmtId="0" fontId="44" fillId="17" borderId="48" xfId="0" applyFont="1" applyFill="1" applyBorder="1" applyAlignment="1">
      <alignment horizontal="justify" vertical="center" wrapText="1"/>
    </xf>
    <xf numFmtId="0" fontId="18" fillId="0" borderId="1" xfId="1" applyFont="1" applyBorder="1" applyAlignment="1">
      <alignment horizontal="center" vertical="center" wrapText="1"/>
    </xf>
    <xf numFmtId="0" fontId="18" fillId="0" borderId="5" xfId="1" applyFont="1" applyBorder="1" applyAlignment="1">
      <alignment horizontal="center" vertical="center" wrapText="1"/>
    </xf>
    <xf numFmtId="0" fontId="2" fillId="0" borderId="5" xfId="1" applyBorder="1" applyAlignment="1">
      <alignment horizontal="left" vertical="center" wrapText="1"/>
    </xf>
    <xf numFmtId="0" fontId="19" fillId="0" borderId="5" xfId="1" applyFont="1" applyBorder="1" applyAlignment="1">
      <alignment vertical="center" wrapText="1"/>
    </xf>
    <xf numFmtId="0" fontId="24" fillId="0" borderId="6" xfId="1" applyFont="1" applyBorder="1" applyAlignment="1">
      <alignment horizontal="center" vertical="center"/>
    </xf>
    <xf numFmtId="0" fontId="26" fillId="0" borderId="53" xfId="1" applyFont="1" applyBorder="1" applyAlignment="1">
      <alignment horizontal="left" vertical="center" wrapText="1"/>
    </xf>
    <xf numFmtId="0" fontId="18" fillId="0" borderId="0" xfId="1" applyFont="1" applyAlignment="1">
      <alignment horizontal="center"/>
    </xf>
    <xf numFmtId="0" fontId="21" fillId="0" borderId="1" xfId="1" applyFont="1" applyBorder="1" applyAlignment="1">
      <alignment vertical="top" wrapText="1"/>
    </xf>
    <xf numFmtId="0" fontId="18" fillId="0" borderId="0" xfId="1" applyFont="1" applyAlignment="1">
      <alignment horizontal="center" wrapText="1"/>
    </xf>
    <xf numFmtId="0" fontId="13" fillId="0" borderId="25" xfId="1" applyFont="1" applyBorder="1" applyAlignment="1">
      <alignment horizontal="right"/>
    </xf>
    <xf numFmtId="0" fontId="15" fillId="8" borderId="22" xfId="1" applyFont="1" applyFill="1" applyBorder="1" applyAlignment="1">
      <alignment horizontal="center" vertical="center" wrapText="1"/>
    </xf>
    <xf numFmtId="0" fontId="27" fillId="2" borderId="22" xfId="1" applyFont="1" applyFill="1" applyBorder="1" applyAlignment="1">
      <alignment horizontal="left" vertical="center" wrapText="1"/>
    </xf>
    <xf numFmtId="0" fontId="20" fillId="0" borderId="16" xfId="1" applyFont="1" applyBorder="1" applyAlignment="1">
      <alignment horizontal="left" vertical="center" wrapText="1"/>
    </xf>
    <xf numFmtId="0" fontId="18" fillId="17" borderId="1" xfId="1" applyFont="1" applyFill="1" applyBorder="1" applyAlignment="1">
      <alignment horizontal="center" vertical="center" wrapText="1"/>
    </xf>
    <xf numFmtId="0" fontId="21" fillId="0" borderId="54" xfId="1" applyFont="1" applyBorder="1" applyAlignment="1">
      <alignment horizontal="center" vertical="center" wrapText="1"/>
    </xf>
    <xf numFmtId="0" fontId="21" fillId="0" borderId="22" xfId="1" applyFont="1" applyBorder="1" applyAlignment="1">
      <alignment horizontal="center" vertical="center" wrapText="1"/>
    </xf>
    <xf numFmtId="0" fontId="28" fillId="2" borderId="1" xfId="1" applyFont="1" applyFill="1" applyBorder="1" applyAlignment="1">
      <alignment horizontal="left" vertical="center" wrapText="1"/>
    </xf>
    <xf numFmtId="0" fontId="20" fillId="0" borderId="1" xfId="1" applyFont="1" applyBorder="1" applyAlignment="1">
      <alignment horizontal="left" vertical="center" wrapText="1"/>
    </xf>
    <xf numFmtId="0" fontId="28" fillId="0" borderId="15" xfId="1" applyFont="1" applyBorder="1" applyAlignment="1">
      <alignment horizontal="left" vertical="center" wrapText="1"/>
    </xf>
    <xf numFmtId="0" fontId="28" fillId="0" borderId="18" xfId="1" applyFont="1" applyBorder="1" applyAlignment="1">
      <alignment vertical="center" wrapText="1"/>
    </xf>
    <xf numFmtId="0" fontId="40" fillId="0" borderId="41" xfId="1" applyFont="1" applyBorder="1" applyAlignment="1">
      <alignment horizontal="right" vertical="top" wrapText="1"/>
    </xf>
    <xf numFmtId="0" fontId="40" fillId="0" borderId="41" xfId="1" applyFont="1" applyBorder="1" applyAlignment="1">
      <alignment horizontal="center" vertical="top" wrapText="1"/>
    </xf>
    <xf numFmtId="0" fontId="28" fillId="0" borderId="31" xfId="1" applyFont="1" applyBorder="1" applyAlignment="1">
      <alignment horizontal="left" vertical="top" wrapText="1"/>
    </xf>
    <xf numFmtId="0" fontId="28" fillId="2" borderId="43" xfId="1" applyFont="1" applyFill="1" applyBorder="1" applyAlignment="1">
      <alignment horizontal="left" vertical="top" wrapText="1"/>
    </xf>
    <xf numFmtId="0" fontId="20" fillId="0" borderId="25" xfId="1" applyFont="1" applyBorder="1" applyAlignment="1">
      <alignment horizontal="center"/>
    </xf>
    <xf numFmtId="0" fontId="20" fillId="0" borderId="0" xfId="1" applyFont="1" applyAlignment="1">
      <alignment horizontal="center"/>
    </xf>
    <xf numFmtId="1" fontId="20" fillId="2" borderId="0" xfId="1" applyNumberFormat="1" applyFont="1" applyFill="1" applyAlignment="1" applyProtection="1">
      <alignment horizontal="center" vertical="center"/>
      <protection locked="0"/>
    </xf>
    <xf numFmtId="0" fontId="21" fillId="8" borderId="20" xfId="1" applyFont="1" applyFill="1" applyBorder="1" applyAlignment="1">
      <alignment horizontal="center" vertical="center" wrapText="1"/>
    </xf>
    <xf numFmtId="0" fontId="21" fillId="8" borderId="34" xfId="1" applyFont="1" applyFill="1" applyBorder="1" applyAlignment="1">
      <alignment horizontal="center" vertical="center" wrapText="1"/>
    </xf>
    <xf numFmtId="0" fontId="13" fillId="0" borderId="0" xfId="1" applyFont="1" applyAlignment="1">
      <alignment vertical="top" wrapText="1"/>
    </xf>
    <xf numFmtId="0" fontId="13" fillId="0" borderId="0" xfId="1" applyFont="1" applyAlignment="1">
      <alignment horizontal="left" vertical="center"/>
    </xf>
    <xf numFmtId="0" fontId="21" fillId="0" borderId="0" xfId="1" applyFont="1" applyAlignment="1">
      <alignment horizontal="center"/>
    </xf>
    <xf numFmtId="0" fontId="13" fillId="0" borderId="0" xfId="1" applyFont="1" applyAlignment="1">
      <alignment horizontal="left"/>
    </xf>
    <xf numFmtId="0" fontId="2" fillId="0" borderId="45" xfId="1" applyBorder="1"/>
    <xf numFmtId="0" fontId="21" fillId="8" borderId="60" xfId="1" applyFont="1" applyFill="1" applyBorder="1" applyAlignment="1">
      <alignment horizontal="center" vertical="center"/>
    </xf>
    <xf numFmtId="0" fontId="21" fillId="0" borderId="13" xfId="1" applyFont="1" applyBorder="1" applyAlignment="1">
      <alignment horizontal="center" vertical="center" wrapText="1"/>
    </xf>
    <xf numFmtId="0" fontId="20" fillId="0" borderId="13" xfId="1" applyFont="1" applyBorder="1" applyAlignment="1">
      <alignment vertical="center" wrapText="1"/>
    </xf>
    <xf numFmtId="0" fontId="2" fillId="0" borderId="24" xfId="1" applyBorder="1"/>
    <xf numFmtId="0" fontId="20" fillId="0" borderId="15" xfId="1" applyFont="1" applyBorder="1" applyAlignment="1">
      <alignment horizontal="center" vertical="center" wrapText="1"/>
    </xf>
    <xf numFmtId="0" fontId="20" fillId="0" borderId="55" xfId="1" applyFont="1" applyBorder="1" applyAlignment="1">
      <alignment vertical="center" wrapText="1"/>
    </xf>
    <xf numFmtId="0" fontId="20" fillId="0" borderId="15" xfId="1" applyFont="1" applyBorder="1" applyAlignment="1">
      <alignment horizontal="left" vertical="center" wrapText="1"/>
    </xf>
    <xf numFmtId="0" fontId="21" fillId="0" borderId="62" xfId="1" applyFont="1" applyBorder="1" applyAlignment="1">
      <alignment horizontal="center" vertical="center" wrapText="1"/>
    </xf>
    <xf numFmtId="0" fontId="21" fillId="0" borderId="19" xfId="1" applyFont="1" applyBorder="1" applyAlignment="1">
      <alignment horizontal="center" vertical="center" wrapText="1"/>
    </xf>
    <xf numFmtId="0" fontId="20" fillId="0" borderId="19" xfId="1" applyFont="1" applyBorder="1" applyAlignment="1">
      <alignment horizontal="center" vertical="center" wrapText="1"/>
    </xf>
    <xf numFmtId="0" fontId="28" fillId="0" borderId="19" xfId="1" applyFont="1" applyBorder="1" applyAlignment="1">
      <alignment horizontal="left" vertical="center" wrapText="1"/>
    </xf>
    <xf numFmtId="9" fontId="26" fillId="2" borderId="21" xfId="1" applyNumberFormat="1" applyFont="1" applyFill="1" applyBorder="1" applyAlignment="1">
      <alignment horizontal="center" vertical="center" wrapText="1"/>
    </xf>
    <xf numFmtId="9" fontId="20" fillId="2" borderId="63" xfId="2" applyFont="1" applyFill="1" applyBorder="1" applyAlignment="1" applyProtection="1">
      <alignment horizontal="center" vertical="center"/>
      <protection locked="0"/>
    </xf>
    <xf numFmtId="9" fontId="20" fillId="2" borderId="63" xfId="1" applyNumberFormat="1" applyFont="1" applyFill="1" applyBorder="1" applyAlignment="1" applyProtection="1">
      <alignment horizontal="center" vertical="center"/>
      <protection locked="0"/>
    </xf>
    <xf numFmtId="0" fontId="2" fillId="0" borderId="59" xfId="1" applyBorder="1"/>
    <xf numFmtId="0" fontId="21" fillId="0" borderId="55" xfId="1" applyFont="1" applyBorder="1" applyAlignment="1">
      <alignment horizontal="center" vertical="center" wrapText="1"/>
    </xf>
    <xf numFmtId="0" fontId="39" fillId="0" borderId="15" xfId="1" applyFont="1" applyBorder="1" applyAlignment="1">
      <alignment horizontal="left" vertical="center" wrapText="1"/>
    </xf>
    <xf numFmtId="0" fontId="20" fillId="0" borderId="5" xfId="1" applyFont="1" applyBorder="1" applyAlignment="1">
      <alignment horizontal="center" vertical="center" wrapText="1"/>
    </xf>
    <xf numFmtId="0" fontId="28" fillId="0" borderId="5" xfId="1" applyFont="1" applyBorder="1" applyAlignment="1">
      <alignment horizontal="left" vertical="center" wrapText="1"/>
    </xf>
    <xf numFmtId="164" fontId="20" fillId="2" borderId="0" xfId="1" applyNumberFormat="1" applyFont="1" applyFill="1" applyAlignment="1" applyProtection="1">
      <alignment horizontal="center" vertical="center"/>
      <protection locked="0"/>
    </xf>
    <xf numFmtId="9" fontId="21" fillId="2" borderId="41" xfId="2" applyFont="1" applyFill="1" applyBorder="1" applyAlignment="1" applyProtection="1">
      <alignment horizontal="center" vertical="center"/>
      <protection locked="0"/>
    </xf>
    <xf numFmtId="16" fontId="21" fillId="0" borderId="65" xfId="1" applyNumberFormat="1" applyFont="1" applyBorder="1" applyAlignment="1">
      <alignment horizontal="center"/>
    </xf>
    <xf numFmtId="0" fontId="20" fillId="0" borderId="65" xfId="1" applyFont="1" applyBorder="1" applyAlignment="1">
      <alignment horizontal="right" wrapText="1"/>
    </xf>
    <xf numFmtId="0" fontId="13" fillId="0" borderId="66" xfId="1" applyFont="1" applyBorder="1" applyAlignment="1">
      <alignment horizontal="center" wrapText="1"/>
    </xf>
    <xf numFmtId="0" fontId="21" fillId="0" borderId="67" xfId="1" applyFont="1" applyBorder="1" applyAlignment="1">
      <alignment horizontal="center" wrapText="1"/>
    </xf>
    <xf numFmtId="0" fontId="3" fillId="2" borderId="0" xfId="1" applyFont="1" applyFill="1" applyAlignment="1">
      <alignment horizontal="center" vertical="center" wrapText="1"/>
    </xf>
    <xf numFmtId="0" fontId="5" fillId="5" borderId="1" xfId="1" applyFont="1" applyFill="1" applyBorder="1" applyAlignment="1">
      <alignment horizontal="center" vertical="center" wrapText="1"/>
    </xf>
    <xf numFmtId="0" fontId="8" fillId="5" borderId="1" xfId="1" applyFont="1" applyFill="1" applyBorder="1" applyAlignment="1">
      <alignment horizontal="center" vertical="center" wrapText="1"/>
    </xf>
    <xf numFmtId="0" fontId="5" fillId="6" borderId="1" xfId="1" applyFont="1" applyFill="1" applyBorder="1" applyAlignment="1">
      <alignment horizontal="center" vertical="center" wrapText="1"/>
    </xf>
    <xf numFmtId="0" fontId="4" fillId="2" borderId="0" xfId="1" applyFont="1" applyFill="1" applyAlignment="1">
      <alignment horizontal="center" vertical="center" wrapText="1"/>
    </xf>
    <xf numFmtId="0" fontId="8" fillId="5" borderId="2" xfId="1" applyFont="1" applyFill="1" applyBorder="1" applyAlignment="1">
      <alignment horizontal="center" vertical="center" wrapText="1"/>
    </xf>
    <xf numFmtId="0" fontId="8" fillId="5" borderId="3" xfId="1" applyFont="1" applyFill="1" applyBorder="1" applyAlignment="1">
      <alignment horizontal="center" vertical="center" wrapText="1"/>
    </xf>
    <xf numFmtId="0" fontId="8" fillId="5" borderId="4" xfId="1" applyFont="1" applyFill="1" applyBorder="1" applyAlignment="1">
      <alignment horizontal="center" vertical="center" wrapText="1"/>
    </xf>
    <xf numFmtId="0" fontId="5" fillId="6" borderId="2" xfId="1" applyFont="1" applyFill="1" applyBorder="1" applyAlignment="1">
      <alignment horizontal="center" vertical="center" wrapText="1"/>
    </xf>
    <xf numFmtId="0" fontId="5" fillId="6" borderId="4" xfId="1" applyFont="1" applyFill="1" applyBorder="1" applyAlignment="1">
      <alignment horizontal="center" vertical="center" wrapText="1"/>
    </xf>
    <xf numFmtId="0" fontId="44" fillId="0" borderId="52" xfId="0" applyFont="1" applyBorder="1" applyAlignment="1">
      <alignment vertical="center" wrapText="1"/>
    </xf>
    <xf numFmtId="0" fontId="44" fillId="0" borderId="50" xfId="0" applyFont="1" applyBorder="1" applyAlignment="1">
      <alignment vertical="center" wrapText="1"/>
    </xf>
    <xf numFmtId="0" fontId="44" fillId="0" borderId="48" xfId="0" applyFont="1" applyBorder="1" applyAlignment="1">
      <alignment vertical="center" wrapText="1"/>
    </xf>
    <xf numFmtId="9" fontId="20" fillId="2" borderId="61" xfId="1" applyNumberFormat="1" applyFont="1" applyFill="1" applyBorder="1" applyAlignment="1" applyProtection="1">
      <alignment horizontal="center" vertical="center"/>
      <protection locked="0"/>
    </xf>
    <xf numFmtId="9" fontId="20" fillId="2" borderId="28" xfId="1" applyNumberFormat="1" applyFont="1" applyFill="1" applyBorder="1" applyAlignment="1" applyProtection="1">
      <alignment horizontal="center" vertical="center"/>
      <protection locked="0"/>
    </xf>
    <xf numFmtId="9" fontId="20" fillId="2" borderId="30" xfId="1" applyNumberFormat="1" applyFont="1" applyFill="1" applyBorder="1" applyAlignment="1" applyProtection="1">
      <alignment horizontal="center" vertical="center"/>
      <protection locked="0"/>
    </xf>
    <xf numFmtId="9" fontId="20" fillId="2" borderId="54" xfId="1" applyNumberFormat="1" applyFont="1" applyFill="1" applyBorder="1" applyAlignment="1">
      <alignment horizontal="center" vertical="center" wrapText="1"/>
    </xf>
    <xf numFmtId="0" fontId="20" fillId="2" borderId="22" xfId="1" applyFont="1" applyFill="1" applyBorder="1" applyAlignment="1">
      <alignment horizontal="center" vertical="center" wrapText="1"/>
    </xf>
    <xf numFmtId="0" fontId="20" fillId="2" borderId="55" xfId="1" applyFont="1" applyFill="1" applyBorder="1" applyAlignment="1">
      <alignment horizontal="center" vertical="center" wrapText="1"/>
    </xf>
    <xf numFmtId="0" fontId="42" fillId="0" borderId="40" xfId="1" applyFont="1" applyBorder="1" applyAlignment="1">
      <alignment horizontal="center" vertical="center" wrapText="1"/>
    </xf>
    <xf numFmtId="0" fontId="42" fillId="0" borderId="41" xfId="1" applyFont="1" applyBorder="1" applyAlignment="1">
      <alignment horizontal="center" vertical="center" wrapText="1"/>
    </xf>
    <xf numFmtId="0" fontId="42" fillId="0" borderId="59" xfId="1" applyFont="1" applyBorder="1" applyAlignment="1">
      <alignment horizontal="center" vertical="center" wrapText="1"/>
    </xf>
    <xf numFmtId="9" fontId="20" fillId="2" borderId="39" xfId="1" applyNumberFormat="1" applyFont="1" applyFill="1" applyBorder="1" applyAlignment="1" applyProtection="1">
      <alignment horizontal="center" vertical="center"/>
      <protection locked="0"/>
    </xf>
    <xf numFmtId="9" fontId="20" fillId="2" borderId="36" xfId="1" applyNumberFormat="1" applyFont="1" applyFill="1" applyBorder="1" applyAlignment="1" applyProtection="1">
      <alignment horizontal="center" vertical="center"/>
      <protection locked="0"/>
    </xf>
    <xf numFmtId="9" fontId="20" fillId="2" borderId="38" xfId="1" applyNumberFormat="1" applyFont="1" applyFill="1" applyBorder="1" applyAlignment="1" applyProtection="1">
      <alignment horizontal="center" vertical="center"/>
      <protection locked="0"/>
    </xf>
    <xf numFmtId="0" fontId="21" fillId="0" borderId="56" xfId="1" applyFont="1" applyBorder="1" applyAlignment="1">
      <alignment horizontal="center" vertical="center" wrapText="1"/>
    </xf>
    <xf numFmtId="0" fontId="21" fillId="0" borderId="58" xfId="1" applyFont="1" applyBorder="1" applyAlignment="1">
      <alignment horizontal="center" vertical="center" wrapText="1"/>
    </xf>
    <xf numFmtId="0" fontId="21" fillId="0" borderId="57" xfId="1" applyFont="1" applyBorder="1" applyAlignment="1">
      <alignment horizontal="center" vertical="center" wrapText="1"/>
    </xf>
    <xf numFmtId="9" fontId="39" fillId="0" borderId="54" xfId="1" applyNumberFormat="1" applyFont="1" applyBorder="1" applyAlignment="1">
      <alignment horizontal="center" vertical="center" wrapText="1"/>
    </xf>
    <xf numFmtId="0" fontId="39" fillId="0" borderId="22" xfId="1" applyFont="1" applyBorder="1" applyAlignment="1">
      <alignment horizontal="center" vertical="center" wrapText="1"/>
    </xf>
    <xf numFmtId="0" fontId="39" fillId="0" borderId="55" xfId="1" applyFont="1" applyBorder="1" applyAlignment="1">
      <alignment horizontal="center" vertical="center" wrapText="1"/>
    </xf>
    <xf numFmtId="9" fontId="26" fillId="0" borderId="54" xfId="1" applyNumberFormat="1" applyFont="1" applyBorder="1" applyAlignment="1">
      <alignment horizontal="center" vertical="center" wrapText="1"/>
    </xf>
    <xf numFmtId="0" fontId="26" fillId="0" borderId="22" xfId="1" applyFont="1" applyBorder="1" applyAlignment="1">
      <alignment horizontal="center" vertical="center" wrapText="1"/>
    </xf>
    <xf numFmtId="0" fontId="26" fillId="0" borderId="55" xfId="1" applyFont="1" applyBorder="1" applyAlignment="1">
      <alignment horizontal="center" vertical="center" wrapText="1"/>
    </xf>
    <xf numFmtId="0" fontId="21" fillId="0" borderId="23" xfId="1" applyFont="1" applyBorder="1" applyAlignment="1">
      <alignment horizontal="center" vertical="center" wrapText="1"/>
    </xf>
    <xf numFmtId="0" fontId="21" fillId="0" borderId="25" xfId="1" applyFont="1" applyBorder="1" applyAlignment="1">
      <alignment horizontal="center" vertical="center" wrapText="1"/>
    </xf>
    <xf numFmtId="0" fontId="21" fillId="0" borderId="37" xfId="1" applyFont="1" applyBorder="1" applyAlignment="1">
      <alignment horizontal="center" vertical="center" wrapText="1"/>
    </xf>
    <xf numFmtId="0" fontId="21" fillId="0" borderId="23" xfId="1" applyFont="1" applyBorder="1" applyAlignment="1">
      <alignment horizontal="center" vertical="center"/>
    </xf>
    <xf numFmtId="0" fontId="21" fillId="0" borderId="25" xfId="1" applyFont="1" applyBorder="1" applyAlignment="1">
      <alignment horizontal="center" vertical="center"/>
    </xf>
    <xf numFmtId="0" fontId="21" fillId="0" borderId="37" xfId="1" applyFont="1" applyBorder="1" applyAlignment="1">
      <alignment horizontal="center" vertical="center"/>
    </xf>
    <xf numFmtId="9" fontId="20" fillId="2" borderId="61" xfId="2" applyFont="1" applyFill="1" applyBorder="1" applyAlignment="1" applyProtection="1">
      <alignment horizontal="center" vertical="center"/>
      <protection locked="0"/>
    </xf>
    <xf numFmtId="9" fontId="20" fillId="2" borderId="28" xfId="2" applyFont="1" applyFill="1" applyBorder="1" applyAlignment="1" applyProtection="1">
      <alignment horizontal="center" vertical="center"/>
      <protection locked="0"/>
    </xf>
    <xf numFmtId="9" fontId="20" fillId="2" borderId="30" xfId="2" applyFont="1" applyFill="1" applyBorder="1" applyAlignment="1" applyProtection="1">
      <alignment horizontal="center" vertical="center"/>
      <protection locked="0"/>
    </xf>
    <xf numFmtId="9" fontId="20" fillId="2" borderId="39" xfId="2" applyFont="1" applyFill="1" applyBorder="1" applyAlignment="1" applyProtection="1">
      <alignment horizontal="center" vertical="center"/>
      <protection locked="0"/>
    </xf>
    <xf numFmtId="9" fontId="20" fillId="2" borderId="36" xfId="2" applyFont="1" applyFill="1" applyBorder="1" applyAlignment="1" applyProtection="1">
      <alignment horizontal="center" vertical="center"/>
      <protection locked="0"/>
    </xf>
    <xf numFmtId="9" fontId="20" fillId="2" borderId="38" xfId="2" applyFont="1" applyFill="1" applyBorder="1" applyAlignment="1" applyProtection="1">
      <alignment horizontal="center" vertical="center"/>
      <protection locked="0"/>
    </xf>
    <xf numFmtId="0" fontId="21" fillId="0" borderId="64" xfId="1" applyFont="1" applyBorder="1" applyAlignment="1">
      <alignment horizontal="right" vertical="top" wrapText="1"/>
    </xf>
    <xf numFmtId="0" fontId="21" fillId="0" borderId="31" xfId="1" applyFont="1" applyBorder="1" applyAlignment="1">
      <alignment horizontal="right" vertical="top" wrapText="1"/>
    </xf>
    <xf numFmtId="0" fontId="29" fillId="0" borderId="23" xfId="1" applyFont="1" applyBorder="1" applyAlignment="1">
      <alignment horizontal="center"/>
    </xf>
    <xf numFmtId="0" fontId="29" fillId="0" borderId="18" xfId="1" applyFont="1" applyBorder="1" applyAlignment="1">
      <alignment horizontal="center"/>
    </xf>
    <xf numFmtId="0" fontId="29" fillId="0" borderId="24" xfId="1" applyFont="1" applyBorder="1" applyAlignment="1">
      <alignment horizontal="center"/>
    </xf>
    <xf numFmtId="0" fontId="27" fillId="0" borderId="0" xfId="1" applyFont="1" applyAlignment="1">
      <alignment horizontal="left" vertical="top" wrapText="1" readingOrder="1"/>
    </xf>
    <xf numFmtId="0" fontId="27" fillId="0" borderId="26" xfId="1" applyFont="1" applyBorder="1" applyAlignment="1">
      <alignment horizontal="left" vertical="top" wrapText="1" readingOrder="1"/>
    </xf>
    <xf numFmtId="0" fontId="41" fillId="0" borderId="0" xfId="1" applyFont="1" applyAlignment="1">
      <alignment horizontal="center" vertical="center"/>
    </xf>
  </cellXfs>
  <cellStyles count="3">
    <cellStyle name="Normal" xfId="0" builtinId="0"/>
    <cellStyle name="Normal 2" xfId="1" xr:uid="{42681894-6EF8-4343-9A9E-90C01F5844C1}"/>
    <cellStyle name="Percent" xfId="2" builtinId="5"/>
  </cellStyles>
  <dxfs count="19">
    <dxf>
      <font>
        <color theme="1"/>
      </font>
      <fill>
        <patternFill>
          <bgColor rgb="FFFFFF00"/>
        </patternFill>
      </fill>
    </dxf>
    <dxf>
      <font>
        <color theme="0"/>
      </font>
      <fill>
        <patternFill>
          <bgColor rgb="FF00B050"/>
        </patternFill>
      </fill>
    </dxf>
    <dxf>
      <fill>
        <patternFill patternType="none">
          <bgColor auto="1"/>
        </patternFill>
      </fill>
    </dxf>
    <dxf>
      <fill>
        <patternFill>
          <bgColor rgb="FFFFFF00"/>
        </patternFill>
      </fill>
    </dxf>
    <dxf>
      <font>
        <color theme="0"/>
      </font>
      <fill>
        <patternFill>
          <bgColor rgb="FF00B050"/>
        </patternFill>
      </fill>
    </dxf>
    <dxf>
      <font>
        <color theme="0"/>
      </font>
      <fill>
        <patternFill>
          <bgColor rgb="FFFF0000"/>
        </patternFill>
      </fill>
    </dxf>
    <dxf>
      <fill>
        <patternFill>
          <bgColor theme="1"/>
        </patternFill>
      </fill>
    </dxf>
    <dxf>
      <fill>
        <patternFill patternType="none">
          <bgColor auto="1"/>
        </patternFill>
      </fill>
    </dxf>
    <dxf>
      <font>
        <color theme="1"/>
      </font>
      <fill>
        <patternFill>
          <bgColor theme="1"/>
        </patternFill>
      </fill>
    </dxf>
    <dxf>
      <font>
        <color theme="0"/>
      </font>
      <fill>
        <patternFill>
          <bgColor rgb="FFFF0000"/>
        </patternFill>
      </fill>
    </dxf>
    <dxf>
      <font>
        <color theme="1"/>
      </font>
      <fill>
        <patternFill>
          <bgColor rgb="FFFFFF00"/>
        </patternFill>
      </fill>
    </dxf>
    <dxf>
      <font>
        <color theme="0"/>
      </font>
      <fill>
        <patternFill>
          <bgColor rgb="FF00B050"/>
        </patternFill>
      </fill>
    </dxf>
    <dxf>
      <fill>
        <patternFill patternType="none">
          <bgColor auto="1"/>
        </patternFill>
      </fill>
    </dxf>
    <dxf>
      <font>
        <color theme="0"/>
      </font>
      <fill>
        <patternFill>
          <bgColor rgb="FFFF0000"/>
        </patternFill>
      </fill>
    </dxf>
    <dxf>
      <font>
        <color theme="1"/>
      </font>
      <fill>
        <patternFill>
          <bgColor rgb="FFFFFF00"/>
        </patternFill>
      </fill>
    </dxf>
    <dxf>
      <font>
        <color theme="0"/>
      </font>
      <fill>
        <patternFill>
          <bgColor rgb="FF00B050"/>
        </patternFill>
      </fill>
    </dxf>
    <dxf>
      <fill>
        <patternFill patternType="none">
          <bgColor auto="1"/>
        </patternFill>
      </fill>
    </dxf>
    <dxf>
      <font>
        <color rgb="FF00B050"/>
      </font>
      <fill>
        <patternFill>
          <bgColor rgb="FF00B050"/>
        </patternFill>
      </fill>
    </dxf>
    <dxf>
      <font>
        <color rgb="FFFF0000"/>
      </font>
      <fill>
        <patternFill>
          <bgColor rgb="FFFF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8" Type="http://schemas.microsoft.com/office/2007/relationships/hdphoto" Target="../media/hdphoto1.wdp"/><Relationship Id="rId3" Type="http://schemas.openxmlformats.org/officeDocument/2006/relationships/image" Target="../media/image4.png"/><Relationship Id="rId7" Type="http://schemas.openxmlformats.org/officeDocument/2006/relationships/image" Target="../media/image8.png"/><Relationship Id="rId2" Type="http://schemas.openxmlformats.org/officeDocument/2006/relationships/image" Target="../media/image3.png"/><Relationship Id="rId1" Type="http://schemas.openxmlformats.org/officeDocument/2006/relationships/image" Target="../media/image2.png"/><Relationship Id="rId6" Type="http://schemas.openxmlformats.org/officeDocument/2006/relationships/image" Target="../media/image7.png"/><Relationship Id="rId5" Type="http://schemas.openxmlformats.org/officeDocument/2006/relationships/image" Target="../media/image6.png"/><Relationship Id="rId4" Type="http://schemas.openxmlformats.org/officeDocument/2006/relationships/image" Target="../media/image5.png"/></Relationships>
</file>

<file path=xl/drawings/_rels/drawing3.xml.rels><?xml version="1.0" encoding="UTF-8" standalone="yes"?>
<Relationships xmlns="http://schemas.openxmlformats.org/package/2006/relationships"><Relationship Id="rId1" Type="http://schemas.openxmlformats.org/officeDocument/2006/relationships/image" Target="../media/image9.png"/></Relationships>
</file>

<file path=xl/drawings/drawing1.xml><?xml version="1.0" encoding="utf-8"?>
<xdr:wsDr xmlns:xdr="http://schemas.openxmlformats.org/drawingml/2006/spreadsheetDrawing" xmlns:a="http://schemas.openxmlformats.org/drawingml/2006/main">
  <xdr:twoCellAnchor editAs="oneCell">
    <xdr:from>
      <xdr:col>10</xdr:col>
      <xdr:colOff>47625</xdr:colOff>
      <xdr:row>0</xdr:row>
      <xdr:rowOff>178117</xdr:rowOff>
    </xdr:from>
    <xdr:to>
      <xdr:col>12</xdr:col>
      <xdr:colOff>516627</xdr:colOff>
      <xdr:row>3</xdr:row>
      <xdr:rowOff>84589</xdr:rowOff>
    </xdr:to>
    <xdr:pic>
      <xdr:nvPicPr>
        <xdr:cNvPr id="2" name="Picture 2">
          <a:extLst>
            <a:ext uri="{FF2B5EF4-FFF2-40B4-BE49-F238E27FC236}">
              <a16:creationId xmlns:a16="http://schemas.microsoft.com/office/drawing/2014/main" id="{831A6FBF-5C22-45F0-A12E-ECE9347E15D9}"/>
            </a:ext>
          </a:extLst>
        </xdr:cNvPr>
        <xdr:cNvPicPr>
          <a:picLocks noChangeAspect="1"/>
        </xdr:cNvPicPr>
      </xdr:nvPicPr>
      <xdr:blipFill>
        <a:blip xmlns:r="http://schemas.openxmlformats.org/officeDocument/2006/relationships" r:embed="rId1"/>
        <a:stretch>
          <a:fillRect/>
        </a:stretch>
      </xdr:blipFill>
      <xdr:spPr>
        <a:xfrm>
          <a:off x="21097875" y="535305"/>
          <a:ext cx="4374252" cy="1008197"/>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47625</xdr:colOff>
      <xdr:row>5</xdr:row>
      <xdr:rowOff>62233</xdr:rowOff>
    </xdr:from>
    <xdr:to>
      <xdr:col>0</xdr:col>
      <xdr:colOff>1010277</xdr:colOff>
      <xdr:row>6</xdr:row>
      <xdr:rowOff>313204</xdr:rowOff>
    </xdr:to>
    <xdr:pic>
      <xdr:nvPicPr>
        <xdr:cNvPr id="2" name="Picture 1">
          <a:extLst>
            <a:ext uri="{FF2B5EF4-FFF2-40B4-BE49-F238E27FC236}">
              <a16:creationId xmlns:a16="http://schemas.microsoft.com/office/drawing/2014/main" id="{CD004D15-22BB-4F77-80E3-DC25CDADC71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7625" y="1833883"/>
          <a:ext cx="962652" cy="917721"/>
        </a:xfrm>
        <a:prstGeom prst="rect">
          <a:avLst/>
        </a:prstGeom>
      </xdr:spPr>
    </xdr:pic>
    <xdr:clientData/>
  </xdr:twoCellAnchor>
  <xdr:twoCellAnchor editAs="oneCell">
    <xdr:from>
      <xdr:col>0</xdr:col>
      <xdr:colOff>349066</xdr:colOff>
      <xdr:row>20</xdr:row>
      <xdr:rowOff>496421</xdr:rowOff>
    </xdr:from>
    <xdr:to>
      <xdr:col>0</xdr:col>
      <xdr:colOff>763940</xdr:colOff>
      <xdr:row>21</xdr:row>
      <xdr:rowOff>411630</xdr:rowOff>
    </xdr:to>
    <xdr:pic>
      <xdr:nvPicPr>
        <xdr:cNvPr id="4" name="Picture 3">
          <a:extLst>
            <a:ext uri="{FF2B5EF4-FFF2-40B4-BE49-F238E27FC236}">
              <a16:creationId xmlns:a16="http://schemas.microsoft.com/office/drawing/2014/main" id="{C76C5B8D-4E41-49BC-8AAD-08C7B5F98B6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349066" y="17882721"/>
          <a:ext cx="414874" cy="416859"/>
        </a:xfrm>
        <a:prstGeom prst="rect">
          <a:avLst/>
        </a:prstGeom>
      </xdr:spPr>
    </xdr:pic>
    <xdr:clientData/>
  </xdr:twoCellAnchor>
  <xdr:twoCellAnchor editAs="oneCell">
    <xdr:from>
      <xdr:col>0</xdr:col>
      <xdr:colOff>107778</xdr:colOff>
      <xdr:row>26</xdr:row>
      <xdr:rowOff>22281</xdr:rowOff>
    </xdr:from>
    <xdr:to>
      <xdr:col>0</xdr:col>
      <xdr:colOff>848286</xdr:colOff>
      <xdr:row>27</xdr:row>
      <xdr:rowOff>333380</xdr:rowOff>
    </xdr:to>
    <xdr:pic>
      <xdr:nvPicPr>
        <xdr:cNvPr id="6" name="Picture 5">
          <a:extLst>
            <a:ext uri="{FF2B5EF4-FFF2-40B4-BE49-F238E27FC236}">
              <a16:creationId xmlns:a16="http://schemas.microsoft.com/office/drawing/2014/main" id="{E988CDAE-3224-462A-919F-FFC3CCB2E04B}"/>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07778" y="20540252"/>
          <a:ext cx="737333" cy="800984"/>
        </a:xfrm>
        <a:prstGeom prst="rect">
          <a:avLst/>
        </a:prstGeom>
      </xdr:spPr>
    </xdr:pic>
    <xdr:clientData/>
  </xdr:twoCellAnchor>
  <xdr:twoCellAnchor editAs="oneCell">
    <xdr:from>
      <xdr:col>0</xdr:col>
      <xdr:colOff>131641</xdr:colOff>
      <xdr:row>22</xdr:row>
      <xdr:rowOff>123826</xdr:rowOff>
    </xdr:from>
    <xdr:to>
      <xdr:col>0</xdr:col>
      <xdr:colOff>996950</xdr:colOff>
      <xdr:row>23</xdr:row>
      <xdr:rowOff>457968</xdr:rowOff>
    </xdr:to>
    <xdr:pic>
      <xdr:nvPicPr>
        <xdr:cNvPr id="7" name="Picture 6">
          <a:extLst>
            <a:ext uri="{FF2B5EF4-FFF2-40B4-BE49-F238E27FC236}">
              <a16:creationId xmlns:a16="http://schemas.microsoft.com/office/drawing/2014/main" id="{B47D2517-7B67-4E2B-8687-BDEA418F085C}"/>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131641" y="16106776"/>
          <a:ext cx="868484" cy="826267"/>
        </a:xfrm>
        <a:prstGeom prst="rect">
          <a:avLst/>
        </a:prstGeom>
      </xdr:spPr>
    </xdr:pic>
    <xdr:clientData/>
  </xdr:twoCellAnchor>
  <xdr:twoCellAnchor editAs="oneCell">
    <xdr:from>
      <xdr:col>0</xdr:col>
      <xdr:colOff>107017</xdr:colOff>
      <xdr:row>0</xdr:row>
      <xdr:rowOff>78441</xdr:rowOff>
    </xdr:from>
    <xdr:to>
      <xdr:col>1</xdr:col>
      <xdr:colOff>864907</xdr:colOff>
      <xdr:row>0</xdr:row>
      <xdr:rowOff>705969</xdr:rowOff>
    </xdr:to>
    <xdr:pic>
      <xdr:nvPicPr>
        <xdr:cNvPr id="13" name="Picture 12">
          <a:extLst>
            <a:ext uri="{FF2B5EF4-FFF2-40B4-BE49-F238E27FC236}">
              <a16:creationId xmlns:a16="http://schemas.microsoft.com/office/drawing/2014/main" id="{7D696B93-C1F1-6B2E-4D25-018851E329EE}"/>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107017" y="78441"/>
          <a:ext cx="1862416" cy="627528"/>
        </a:xfrm>
        <a:prstGeom prst="rect">
          <a:avLst/>
        </a:prstGeom>
      </xdr:spPr>
    </xdr:pic>
    <xdr:clientData/>
  </xdr:twoCellAnchor>
  <xdr:twoCellAnchor editAs="oneCell">
    <xdr:from>
      <xdr:col>7</xdr:col>
      <xdr:colOff>578970</xdr:colOff>
      <xdr:row>0</xdr:row>
      <xdr:rowOff>33618</xdr:rowOff>
    </xdr:from>
    <xdr:to>
      <xdr:col>8</xdr:col>
      <xdr:colOff>572619</xdr:colOff>
      <xdr:row>0</xdr:row>
      <xdr:rowOff>695958</xdr:rowOff>
    </xdr:to>
    <xdr:pic>
      <xdr:nvPicPr>
        <xdr:cNvPr id="15" name="Picture 14">
          <a:extLst>
            <a:ext uri="{FF2B5EF4-FFF2-40B4-BE49-F238E27FC236}">
              <a16:creationId xmlns:a16="http://schemas.microsoft.com/office/drawing/2014/main" id="{3F096C1C-65CD-3550-43CB-85C8F39923C7}"/>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9801411" y="33618"/>
          <a:ext cx="957356" cy="655990"/>
        </a:xfrm>
        <a:prstGeom prst="rect">
          <a:avLst/>
        </a:prstGeom>
      </xdr:spPr>
    </xdr:pic>
    <xdr:clientData/>
  </xdr:twoCellAnchor>
  <xdr:twoCellAnchor editAs="oneCell">
    <xdr:from>
      <xdr:col>0</xdr:col>
      <xdr:colOff>1</xdr:colOff>
      <xdr:row>13</xdr:row>
      <xdr:rowOff>101812</xdr:rowOff>
    </xdr:from>
    <xdr:to>
      <xdr:col>0</xdr:col>
      <xdr:colOff>1054100</xdr:colOff>
      <xdr:row>13</xdr:row>
      <xdr:rowOff>825693</xdr:rowOff>
    </xdr:to>
    <xdr:pic>
      <xdr:nvPicPr>
        <xdr:cNvPr id="11" name="Picture 10">
          <a:extLst>
            <a:ext uri="{FF2B5EF4-FFF2-40B4-BE49-F238E27FC236}">
              <a16:creationId xmlns:a16="http://schemas.microsoft.com/office/drawing/2014/main" id="{62CCE3EB-0470-70B3-77C4-915DD2C32568}"/>
            </a:ext>
          </a:extLst>
        </xdr:cNvPr>
        <xdr:cNvPicPr>
          <a:picLocks noChangeAspect="1"/>
        </xdr:cNvPicPr>
      </xdr:nvPicPr>
      <xdr:blipFill>
        <a:blip xmlns:r="http://schemas.openxmlformats.org/officeDocument/2006/relationships" r:embed="rId7" cstate="print">
          <a:extLst>
            <a:ext uri="{BEBA8EAE-BF5A-486C-A8C5-ECC9F3942E4B}">
              <a14:imgProps xmlns:a14="http://schemas.microsoft.com/office/drawing/2010/main">
                <a14:imgLayer r:embed="rId8">
                  <a14:imgEffect>
                    <a14:backgroundRemoval t="7963" b="94379" l="9936" r="89904">
                      <a14:foregroundMark x1="49038" y1="37705" x2="49038" y2="37705"/>
                      <a14:foregroundMark x1="51763" y1="39813" x2="55609" y2="51522"/>
                      <a14:foregroundMark x1="55609" y1="51522" x2="55449" y2="51756"/>
                      <a14:foregroundMark x1="46826" y1="47192" x2="44231" y2="50820"/>
                      <a14:foregroundMark x1="51603" y1="40515" x2="50576" y2="41951"/>
                      <a14:foregroundMark x1="44231" y1="50820" x2="45353" y2="64169"/>
                      <a14:foregroundMark x1="45353" y1="64169" x2="52404" y2="61827"/>
                      <a14:foregroundMark x1="22970" y1="42381" x2="21314" y2="41218"/>
                      <a14:foregroundMark x1="29647" y1="47073" x2="29356" y2="46869"/>
                      <a14:foregroundMark x1="21314" y1="41218" x2="20032" y2="57845"/>
                      <a14:foregroundMark x1="44872" y1="9133" x2="53686" y2="7963"/>
                      <a14:foregroundMark x1="53686" y1="7963" x2="54006" y2="7963"/>
                      <a14:foregroundMark x1="48878" y1="93911" x2="55449" y2="94379"/>
                      <a14:foregroundMark x1="74199" y1="47073" x2="76647" y2="51744"/>
                      <a14:foregroundMark x1="70994" y1="79157" x2="75481" y2="75878"/>
                      <a14:foregroundMark x1="65545" y1="72131" x2="65865" y2="67681"/>
                      <a14:foregroundMark x1="29487" y1="54333" x2="29167" y2="47541"/>
                      <a14:foregroundMark x1="31731" y1="52225" x2="29327" y2="45433"/>
                      <a14:foregroundMark x1="30609" y1="48712" x2="28205" y2="46136"/>
                      <a14:foregroundMark x1="77724" y1="53864" x2="75962" y2="50117"/>
                      <a14:foregroundMark x1="79968" y1="64403" x2="78686" y2="58314"/>
                      <a14:foregroundMark x1="81891" y1="64403" x2="77244" y2="55738"/>
                      <a14:foregroundMark x1="81731" y1="63466" x2="76122" y2="52459"/>
                      <a14:foregroundMark x1="79167" y1="59953" x2="76603" y2="51756"/>
                      <a14:foregroundMark x1="77083" y1="58782" x2="76923" y2="52225"/>
                      <a14:backgroundMark x1="26122" y1="47775" x2="26603" y2="46136"/>
                      <a14:backgroundMark x1="28069" y1="45698" x2="25641" y2="44028"/>
                      <a14:backgroundMark x1="25481" y1="44028" x2="24199" y2="44965"/>
                      <a14:backgroundMark x1="24038" y1="43091" x2="26603" y2="45667"/>
                      <a14:backgroundMark x1="24359" y1="43326" x2="23558" y2="43560"/>
                      <a14:backgroundMark x1="48077" y1="44965" x2="46955" y2="47307"/>
                      <a14:backgroundMark x1="48237" y1="45667" x2="50160" y2="43326"/>
                      <a14:backgroundMark x1="80609" y1="55504" x2="79918" y2="58196"/>
                      <a14:backgroundMark x1="79327" y1="56206" x2="77556" y2="53617"/>
                      <a14:backgroundMark x1="75321" y1="77986" x2="76603" y2="75410"/>
                    </a14:backgroundRemoval>
                  </a14:imgEffect>
                </a14:imgLayer>
              </a14:imgProps>
            </a:ext>
            <a:ext uri="{28A0092B-C50C-407E-A947-70E740481C1C}">
              <a14:useLocalDpi xmlns:a14="http://schemas.microsoft.com/office/drawing/2010/main" val="0"/>
            </a:ext>
          </a:extLst>
        </a:blip>
        <a:stretch>
          <a:fillRect/>
        </a:stretch>
      </xdr:blipFill>
      <xdr:spPr>
        <a:xfrm>
          <a:off x="1" y="9788737"/>
          <a:ext cx="1054099" cy="72743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9</xdr:col>
      <xdr:colOff>38101</xdr:colOff>
      <xdr:row>0</xdr:row>
      <xdr:rowOff>0</xdr:rowOff>
    </xdr:from>
    <xdr:to>
      <xdr:col>10</xdr:col>
      <xdr:colOff>265</xdr:colOff>
      <xdr:row>1</xdr:row>
      <xdr:rowOff>0</xdr:rowOff>
    </xdr:to>
    <xdr:pic>
      <xdr:nvPicPr>
        <xdr:cNvPr id="3" name="Picture 2">
          <a:extLst>
            <a:ext uri="{FF2B5EF4-FFF2-40B4-BE49-F238E27FC236}">
              <a16:creationId xmlns:a16="http://schemas.microsoft.com/office/drawing/2014/main" id="{37351136-CB67-40E7-AFAB-C36C0450ABF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735551" y="0"/>
          <a:ext cx="638439" cy="657225"/>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4F4C98-F237-4425-8488-D2046597BFB4}">
  <sheetPr codeName="Sheet1"/>
  <dimension ref="A1:E8"/>
  <sheetViews>
    <sheetView workbookViewId="0">
      <selection activeCell="D8" sqref="D8"/>
    </sheetView>
  </sheetViews>
  <sheetFormatPr defaultColWidth="13.54296875" defaultRowHeight="14.5" x14ac:dyDescent="0.35"/>
  <cols>
    <col min="2" max="2" width="15.08984375" bestFit="1" customWidth="1"/>
    <col min="3" max="3" width="17" bestFit="1" customWidth="1"/>
  </cols>
  <sheetData>
    <row r="1" spans="1:5" x14ac:dyDescent="0.35">
      <c r="A1" s="178" t="s">
        <v>215</v>
      </c>
      <c r="B1" s="178" t="s">
        <v>214</v>
      </c>
      <c r="C1" s="178" t="s">
        <v>216</v>
      </c>
      <c r="D1" s="178" t="s">
        <v>217</v>
      </c>
      <c r="E1" s="178" t="s">
        <v>223</v>
      </c>
    </row>
    <row r="2" spans="1:5" x14ac:dyDescent="0.35">
      <c r="A2" t="s">
        <v>216</v>
      </c>
      <c r="B2" t="s">
        <v>321</v>
      </c>
      <c r="C2" t="s">
        <v>226</v>
      </c>
      <c r="D2" t="s">
        <v>232</v>
      </c>
      <c r="E2" t="s">
        <v>225</v>
      </c>
    </row>
    <row r="3" spans="1:5" x14ac:dyDescent="0.35">
      <c r="A3" t="s">
        <v>223</v>
      </c>
      <c r="B3" t="s">
        <v>224</v>
      </c>
      <c r="C3" t="s">
        <v>227</v>
      </c>
      <c r="D3" t="s">
        <v>218</v>
      </c>
      <c r="E3" t="s">
        <v>223</v>
      </c>
    </row>
    <row r="4" spans="1:5" x14ac:dyDescent="0.35">
      <c r="A4" t="s">
        <v>214</v>
      </c>
      <c r="C4" t="s">
        <v>228</v>
      </c>
      <c r="D4" t="s">
        <v>219</v>
      </c>
      <c r="E4" t="s">
        <v>231</v>
      </c>
    </row>
    <row r="5" spans="1:5" x14ac:dyDescent="0.35">
      <c r="A5" t="s">
        <v>217</v>
      </c>
      <c r="C5" t="s">
        <v>230</v>
      </c>
      <c r="D5" t="s">
        <v>220</v>
      </c>
    </row>
    <row r="6" spans="1:5" x14ac:dyDescent="0.35">
      <c r="C6" t="s">
        <v>229</v>
      </c>
      <c r="D6" t="s">
        <v>233</v>
      </c>
    </row>
    <row r="7" spans="1:5" x14ac:dyDescent="0.35">
      <c r="D7" t="s">
        <v>222</v>
      </c>
    </row>
    <row r="8" spans="1:5" x14ac:dyDescent="0.35">
      <c r="D8" t="s">
        <v>234</v>
      </c>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759076-CB30-4465-B1EF-719A649CF96C}">
  <sheetPr codeName="Sheet2">
    <pageSetUpPr fitToPage="1"/>
  </sheetPr>
  <dimension ref="A1:AG102"/>
  <sheetViews>
    <sheetView topLeftCell="A14" zoomScale="40" zoomScaleNormal="40" zoomScaleSheetLayoutView="40" zoomScalePageLayoutView="10" workbookViewId="0">
      <selection activeCell="L30" sqref="L30"/>
    </sheetView>
  </sheetViews>
  <sheetFormatPr defaultColWidth="9.36328125" defaultRowHeight="23.5" outlineLevelRow="1" x14ac:dyDescent="0.55000000000000004"/>
  <cols>
    <col min="1" max="1" width="1.453125" style="5" customWidth="1"/>
    <col min="2" max="2" width="85.1796875" style="5" customWidth="1"/>
    <col min="3" max="3" width="8.1796875" style="15" customWidth="1"/>
    <col min="4" max="4" width="85.1796875" style="5" customWidth="1"/>
    <col min="5" max="5" width="8.1796875" style="15" customWidth="1"/>
    <col min="6" max="6" width="85.1796875" style="5" customWidth="1"/>
    <col min="7" max="7" width="8.1796875" style="15" customWidth="1"/>
    <col min="8" max="8" width="10.7265625" style="2" customWidth="1"/>
    <col min="9" max="9" width="2.54296875" style="16" customWidth="1"/>
    <col min="10" max="10" width="6" style="16" customWidth="1"/>
    <col min="11" max="11" width="11.54296875" style="34" bestFit="1" customWidth="1"/>
    <col min="12" max="12" width="44.26953125" style="34" customWidth="1"/>
    <col min="13" max="16" width="9.36328125" style="34"/>
    <col min="17" max="17" width="9.90625" style="34" customWidth="1"/>
    <col min="18" max="19" width="9.36328125" style="34"/>
    <col min="20" max="20" width="4.90625" style="35" customWidth="1"/>
    <col min="21" max="21" width="9.81640625" style="35" customWidth="1"/>
    <col min="22" max="22" width="54" style="35" customWidth="1"/>
    <col min="23" max="24" width="9.81640625" style="35" customWidth="1"/>
    <col min="25" max="16384" width="9.36328125" style="5"/>
  </cols>
  <sheetData>
    <row r="1" spans="1:33" ht="28.75" customHeight="1" x14ac:dyDescent="0.55000000000000004">
      <c r="A1" s="3"/>
      <c r="B1" s="244" t="s">
        <v>0</v>
      </c>
      <c r="C1" s="244"/>
      <c r="D1" s="244"/>
      <c r="E1" s="244"/>
      <c r="F1" s="244"/>
      <c r="G1" s="244"/>
      <c r="H1" s="244"/>
      <c r="I1" s="1"/>
      <c r="J1" s="2"/>
      <c r="K1" s="2"/>
      <c r="L1" s="2"/>
      <c r="M1" s="2"/>
      <c r="N1" s="2"/>
      <c r="O1" s="2"/>
      <c r="P1" s="2"/>
      <c r="Q1" s="2"/>
      <c r="R1" s="2"/>
      <c r="S1" s="2"/>
      <c r="T1" s="2"/>
      <c r="U1" s="2"/>
      <c r="V1" s="2"/>
      <c r="W1" s="2"/>
      <c r="X1" s="2"/>
      <c r="Y1" s="2"/>
      <c r="Z1" s="2"/>
      <c r="AA1" s="3"/>
      <c r="AB1" s="3"/>
      <c r="AC1" s="3"/>
      <c r="AD1" s="3"/>
      <c r="AE1" s="3"/>
      <c r="AF1" s="3"/>
      <c r="AG1" s="3"/>
    </row>
    <row r="2" spans="1:33" ht="28.75" customHeight="1" x14ac:dyDescent="0.55000000000000004">
      <c r="A2" s="3"/>
      <c r="B2" s="244"/>
      <c r="C2" s="244"/>
      <c r="D2" s="244"/>
      <c r="E2" s="244"/>
      <c r="F2" s="244"/>
      <c r="G2" s="244"/>
      <c r="H2" s="244"/>
      <c r="I2" s="1"/>
      <c r="J2" s="2"/>
      <c r="K2" s="2"/>
      <c r="L2" s="2"/>
      <c r="M2" s="2"/>
      <c r="N2" s="2"/>
      <c r="O2" s="2"/>
      <c r="P2" s="2"/>
      <c r="Q2" s="2"/>
      <c r="R2" s="2"/>
      <c r="S2" s="2"/>
      <c r="T2" s="2"/>
      <c r="U2" s="2"/>
      <c r="V2" s="2"/>
      <c r="W2" s="2"/>
      <c r="X2" s="2"/>
      <c r="Y2" s="2"/>
      <c r="Z2" s="2"/>
      <c r="AA2" s="3"/>
      <c r="AB2" s="3"/>
      <c r="AC2" s="3"/>
      <c r="AD2" s="3"/>
      <c r="AE2" s="3"/>
      <c r="AF2" s="3"/>
      <c r="AG2" s="3"/>
    </row>
    <row r="3" spans="1:33" s="10" customFormat="1" ht="31.4" customHeight="1" x14ac:dyDescent="0.55000000000000004">
      <c r="A3" s="7"/>
      <c r="B3" s="245" t="s">
        <v>1</v>
      </c>
      <c r="C3" s="246"/>
      <c r="D3" s="246"/>
      <c r="E3" s="246"/>
      <c r="F3" s="246"/>
      <c r="G3" s="246"/>
      <c r="H3" s="8"/>
      <c r="I3" s="4"/>
      <c r="J3" s="4"/>
      <c r="K3" s="2"/>
      <c r="L3" s="2"/>
      <c r="M3" s="2"/>
      <c r="N3" s="2"/>
      <c r="O3" s="2"/>
      <c r="P3" s="2"/>
      <c r="Q3" s="2"/>
      <c r="R3" s="2"/>
      <c r="S3" s="2"/>
      <c r="T3" s="9"/>
      <c r="U3" s="9"/>
      <c r="V3" s="9"/>
      <c r="W3" s="9"/>
      <c r="X3" s="9"/>
      <c r="Y3" s="7"/>
      <c r="Z3" s="248"/>
      <c r="AA3" s="248"/>
      <c r="AB3" s="248"/>
      <c r="AC3" s="248"/>
      <c r="AD3" s="7"/>
      <c r="AE3" s="7"/>
      <c r="AF3" s="7"/>
      <c r="AG3" s="7"/>
    </row>
    <row r="4" spans="1:33" s="10" customFormat="1" ht="31.4" customHeight="1" outlineLevel="1" x14ac:dyDescent="0.55000000000000004">
      <c r="A4" s="7"/>
      <c r="B4" s="247" t="s">
        <v>2</v>
      </c>
      <c r="C4" s="247"/>
      <c r="D4" s="247" t="s">
        <v>3</v>
      </c>
      <c r="E4" s="247"/>
      <c r="F4" s="247" t="s">
        <v>4</v>
      </c>
      <c r="G4" s="247"/>
      <c r="H4" s="4"/>
      <c r="I4" s="4"/>
      <c r="J4" s="4"/>
      <c r="K4" s="2"/>
      <c r="L4" s="2"/>
      <c r="M4" s="2"/>
      <c r="N4" s="2"/>
      <c r="O4" s="2"/>
      <c r="P4" s="2"/>
      <c r="Q4" s="2"/>
      <c r="R4" s="2"/>
      <c r="S4" s="2"/>
      <c r="T4" s="9"/>
      <c r="U4" s="9"/>
      <c r="V4" s="9"/>
      <c r="W4" s="9"/>
      <c r="X4" s="9"/>
      <c r="Y4" s="6"/>
      <c r="Z4" s="7"/>
      <c r="AA4" s="7"/>
      <c r="AB4" s="7"/>
      <c r="AC4" s="7"/>
      <c r="AD4" s="7"/>
      <c r="AE4" s="7"/>
      <c r="AF4" s="7"/>
      <c r="AG4" s="7"/>
    </row>
    <row r="5" spans="1:33" s="10" customFormat="1" ht="90" customHeight="1" outlineLevel="1" x14ac:dyDescent="0.55000000000000004">
      <c r="A5" s="7"/>
      <c r="B5" s="11" t="s">
        <v>5</v>
      </c>
      <c r="C5" s="12" t="s">
        <v>6</v>
      </c>
      <c r="D5" s="13" t="s">
        <v>7</v>
      </c>
      <c r="E5" s="12" t="s">
        <v>6</v>
      </c>
      <c r="F5" s="13" t="s">
        <v>8</v>
      </c>
      <c r="G5" s="12" t="s">
        <v>6</v>
      </c>
      <c r="H5" s="6"/>
      <c r="I5" s="1"/>
      <c r="J5" s="1"/>
      <c r="L5" s="2"/>
      <c r="M5" s="2"/>
      <c r="N5" s="2"/>
      <c r="O5" s="2"/>
      <c r="P5" s="2"/>
      <c r="Q5" s="2"/>
      <c r="R5" s="2"/>
      <c r="S5" s="2"/>
      <c r="T5" s="14"/>
      <c r="U5" s="14"/>
      <c r="V5" s="14"/>
      <c r="W5" s="14"/>
      <c r="X5" s="9"/>
      <c r="Y5" s="6"/>
      <c r="Z5" s="7"/>
      <c r="AA5" s="7"/>
      <c r="AB5" s="7"/>
      <c r="AC5" s="7"/>
      <c r="AD5" s="7"/>
      <c r="AE5" s="7"/>
      <c r="AF5" s="7"/>
      <c r="AG5" s="7"/>
    </row>
    <row r="6" spans="1:33" s="10" customFormat="1" ht="90" customHeight="1" outlineLevel="1" x14ac:dyDescent="0.55000000000000004">
      <c r="A6" s="7"/>
      <c r="B6" s="11" t="s">
        <v>9</v>
      </c>
      <c r="C6" s="12" t="s">
        <v>6</v>
      </c>
      <c r="D6" s="11" t="s">
        <v>10</v>
      </c>
      <c r="E6" s="12" t="s">
        <v>6</v>
      </c>
      <c r="F6" s="13" t="s">
        <v>11</v>
      </c>
      <c r="G6" s="12" t="s">
        <v>6</v>
      </c>
      <c r="H6" s="6"/>
      <c r="I6" s="1"/>
      <c r="J6" s="1"/>
      <c r="K6" s="2"/>
      <c r="L6" s="2"/>
      <c r="M6" s="2"/>
      <c r="N6" s="2"/>
      <c r="O6" s="2"/>
      <c r="P6" s="2"/>
      <c r="Q6" s="2"/>
      <c r="R6" s="2"/>
      <c r="S6" s="2"/>
      <c r="T6" s="14"/>
      <c r="U6" s="14"/>
      <c r="V6" s="14"/>
      <c r="W6" s="14"/>
      <c r="X6" s="9"/>
      <c r="Y6" s="6"/>
      <c r="Z6" s="7"/>
      <c r="AA6" s="7"/>
      <c r="AB6" s="7"/>
      <c r="AC6" s="7"/>
      <c r="AD6" s="7"/>
      <c r="AE6" s="7"/>
      <c r="AF6" s="7"/>
      <c r="AG6" s="7"/>
    </row>
    <row r="7" spans="1:33" ht="38.5" customHeight="1" outlineLevel="1" x14ac:dyDescent="0.55000000000000004">
      <c r="A7" s="3"/>
      <c r="I7" s="1"/>
      <c r="J7" s="1"/>
      <c r="K7" s="2"/>
      <c r="L7" s="2"/>
      <c r="M7" s="2"/>
      <c r="N7" s="2"/>
      <c r="O7" s="2"/>
      <c r="P7" s="2"/>
      <c r="Q7" s="2"/>
      <c r="R7" s="2"/>
      <c r="S7" s="2"/>
      <c r="T7" s="1"/>
      <c r="U7" s="1"/>
      <c r="V7" s="14"/>
      <c r="W7" s="14"/>
      <c r="X7" s="14"/>
      <c r="Y7" s="3"/>
      <c r="Z7" s="3"/>
      <c r="AA7" s="3"/>
      <c r="AB7" s="3"/>
      <c r="AC7" s="3"/>
      <c r="AD7" s="3"/>
      <c r="AE7" s="3"/>
      <c r="AF7" s="3"/>
      <c r="AG7" s="3"/>
    </row>
    <row r="8" spans="1:33" s="10" customFormat="1" ht="31.4" customHeight="1" x14ac:dyDescent="0.55000000000000004">
      <c r="A8" s="7"/>
      <c r="B8" s="246" t="s">
        <v>12</v>
      </c>
      <c r="C8" s="246"/>
      <c r="D8" s="246"/>
      <c r="E8" s="246"/>
      <c r="F8" s="246"/>
      <c r="G8" s="246"/>
      <c r="H8" s="8"/>
      <c r="I8" s="4"/>
      <c r="J8" s="4"/>
      <c r="K8" s="2"/>
      <c r="L8" s="2"/>
      <c r="M8" s="2"/>
      <c r="N8" s="2"/>
      <c r="O8" s="2"/>
      <c r="P8" s="2"/>
      <c r="Q8" s="2"/>
      <c r="R8" s="2"/>
      <c r="S8" s="2"/>
      <c r="T8" s="9"/>
      <c r="U8" s="9"/>
      <c r="V8" s="9"/>
      <c r="W8" s="9"/>
      <c r="X8" s="9"/>
      <c r="Y8" s="7"/>
      <c r="Z8" s="7"/>
      <c r="AA8" s="7"/>
      <c r="AB8" s="7"/>
      <c r="AC8" s="7"/>
      <c r="AD8" s="7"/>
      <c r="AE8" s="7"/>
      <c r="AF8" s="7"/>
      <c r="AG8" s="7"/>
    </row>
    <row r="9" spans="1:33" s="10" customFormat="1" ht="31.4" customHeight="1" outlineLevel="1" x14ac:dyDescent="0.55000000000000004">
      <c r="A9" s="7"/>
      <c r="B9" s="247" t="s">
        <v>2</v>
      </c>
      <c r="C9" s="247"/>
      <c r="D9" s="247" t="s">
        <v>3</v>
      </c>
      <c r="E9" s="247"/>
      <c r="F9" s="247" t="s">
        <v>4</v>
      </c>
      <c r="G9" s="247"/>
      <c r="H9" s="4"/>
      <c r="I9" s="4"/>
      <c r="J9" s="4"/>
      <c r="K9" s="2"/>
      <c r="L9" s="2"/>
      <c r="M9" s="2"/>
      <c r="N9" s="2"/>
      <c r="O9" s="2"/>
      <c r="P9" s="2"/>
      <c r="Q9" s="2"/>
      <c r="R9" s="2"/>
      <c r="S9" s="2"/>
      <c r="T9" s="9"/>
      <c r="U9" s="9"/>
      <c r="V9" s="9"/>
      <c r="W9" s="9"/>
      <c r="X9" s="9"/>
      <c r="Y9" s="7"/>
      <c r="Z9" s="7"/>
      <c r="AA9" s="7"/>
      <c r="AB9" s="7"/>
      <c r="AC9" s="7"/>
      <c r="AD9" s="7"/>
      <c r="AE9" s="7"/>
      <c r="AF9" s="7"/>
      <c r="AG9" s="7"/>
    </row>
    <row r="10" spans="1:33" s="10" customFormat="1" ht="90" customHeight="1" outlineLevel="1" x14ac:dyDescent="0.55000000000000004">
      <c r="A10" s="7"/>
      <c r="B10" s="11" t="s">
        <v>13</v>
      </c>
      <c r="C10" s="12" t="s">
        <v>6</v>
      </c>
      <c r="D10" s="13" t="s">
        <v>14</v>
      </c>
      <c r="E10" s="12" t="s">
        <v>6</v>
      </c>
      <c r="F10" s="13" t="s">
        <v>15</v>
      </c>
      <c r="G10" s="12" t="s">
        <v>6</v>
      </c>
      <c r="H10" s="6"/>
      <c r="I10" s="1"/>
      <c r="J10" s="1"/>
      <c r="K10" s="2"/>
      <c r="L10" s="2"/>
      <c r="M10" s="2"/>
      <c r="N10" s="2"/>
      <c r="O10" s="2"/>
      <c r="P10" s="2"/>
      <c r="Q10" s="2"/>
      <c r="R10" s="2"/>
      <c r="S10" s="2"/>
      <c r="T10" s="14"/>
      <c r="U10" s="14"/>
      <c r="V10" s="14"/>
      <c r="W10" s="14"/>
      <c r="X10" s="9"/>
      <c r="Y10" s="7"/>
      <c r="Z10" s="7"/>
      <c r="AA10" s="7"/>
      <c r="AB10" s="7"/>
      <c r="AC10" s="7"/>
      <c r="AD10" s="7"/>
      <c r="AE10" s="7"/>
      <c r="AF10" s="7"/>
      <c r="AG10" s="7"/>
    </row>
    <row r="11" spans="1:33" s="10" customFormat="1" ht="53.5" customHeight="1" outlineLevel="1" x14ac:dyDescent="0.55000000000000004">
      <c r="A11" s="7"/>
      <c r="B11" s="13" t="s">
        <v>16</v>
      </c>
      <c r="C11" s="12" t="s">
        <v>6</v>
      </c>
      <c r="D11" s="13" t="s">
        <v>17</v>
      </c>
      <c r="E11" s="12" t="s">
        <v>6</v>
      </c>
      <c r="F11" s="11" t="s">
        <v>18</v>
      </c>
      <c r="G11" s="12" t="s">
        <v>6</v>
      </c>
      <c r="H11" s="6"/>
      <c r="I11" s="1"/>
      <c r="J11" s="1"/>
      <c r="K11" s="2"/>
      <c r="L11" s="2"/>
      <c r="M11" s="2"/>
      <c r="N11" s="2"/>
      <c r="O11" s="2"/>
      <c r="P11" s="2"/>
      <c r="Q11" s="2"/>
      <c r="R11" s="2"/>
      <c r="S11" s="2"/>
      <c r="T11" s="9"/>
      <c r="U11" s="9"/>
      <c r="V11" s="9"/>
      <c r="W11" s="9"/>
      <c r="X11" s="9"/>
      <c r="Y11" s="7"/>
      <c r="Z11" s="7"/>
      <c r="AA11" s="7"/>
      <c r="AB11" s="7"/>
      <c r="AC11" s="7"/>
      <c r="AD11" s="7"/>
      <c r="AE11" s="7"/>
      <c r="AF11" s="7"/>
      <c r="AG11" s="7"/>
    </row>
    <row r="12" spans="1:33" ht="38.5" customHeight="1" outlineLevel="1" x14ac:dyDescent="0.55000000000000004">
      <c r="A12" s="3"/>
      <c r="B12" s="2"/>
      <c r="C12" s="2"/>
      <c r="D12" s="2"/>
      <c r="E12" s="2"/>
      <c r="F12" s="2"/>
      <c r="G12" s="2"/>
      <c r="I12" s="2"/>
      <c r="J12" s="1"/>
      <c r="K12" s="2"/>
      <c r="L12" s="2"/>
      <c r="M12" s="2"/>
      <c r="N12" s="2"/>
      <c r="O12" s="2"/>
      <c r="P12" s="2"/>
      <c r="Q12" s="2"/>
      <c r="R12" s="2"/>
      <c r="S12" s="2"/>
      <c r="T12" s="1"/>
      <c r="U12" s="1"/>
      <c r="V12" s="14"/>
      <c r="W12" s="14"/>
      <c r="X12" s="14"/>
      <c r="Y12" s="3"/>
      <c r="Z12" s="3"/>
      <c r="AA12" s="3"/>
      <c r="AB12" s="3"/>
      <c r="AC12" s="3"/>
      <c r="AD12" s="3"/>
      <c r="AE12" s="3"/>
      <c r="AF12" s="3"/>
      <c r="AG12" s="3"/>
    </row>
    <row r="13" spans="1:33" s="10" customFormat="1" ht="31.4" customHeight="1" x14ac:dyDescent="0.55000000000000004">
      <c r="A13" s="7"/>
      <c r="B13" s="249" t="s">
        <v>19</v>
      </c>
      <c r="C13" s="250"/>
      <c r="D13" s="250"/>
      <c r="E13" s="250"/>
      <c r="F13" s="250"/>
      <c r="G13" s="251"/>
      <c r="H13" s="8"/>
      <c r="I13" s="4"/>
      <c r="J13" s="4"/>
      <c r="K13" s="2"/>
      <c r="L13" s="2"/>
      <c r="M13" s="2"/>
      <c r="N13" s="2"/>
      <c r="O13" s="2"/>
      <c r="P13" s="2"/>
      <c r="Q13" s="2"/>
      <c r="R13" s="2"/>
      <c r="S13" s="2"/>
      <c r="T13" s="7"/>
      <c r="U13" s="7"/>
      <c r="V13" s="7"/>
      <c r="W13" s="7"/>
      <c r="X13" s="7"/>
      <c r="Y13" s="7"/>
      <c r="Z13" s="7"/>
      <c r="AA13" s="7"/>
      <c r="AB13" s="7"/>
      <c r="AC13" s="7"/>
      <c r="AD13" s="7"/>
      <c r="AE13" s="7"/>
      <c r="AF13" s="7"/>
      <c r="AG13" s="7"/>
    </row>
    <row r="14" spans="1:33" s="10" customFormat="1" ht="31.4" customHeight="1" outlineLevel="1" x14ac:dyDescent="0.55000000000000004">
      <c r="A14" s="7"/>
      <c r="B14" s="252" t="s">
        <v>2</v>
      </c>
      <c r="C14" s="253"/>
      <c r="D14" s="252" t="s">
        <v>3</v>
      </c>
      <c r="E14" s="253"/>
      <c r="F14" s="252" t="s">
        <v>4</v>
      </c>
      <c r="G14" s="253"/>
      <c r="H14" s="4"/>
      <c r="I14" s="4"/>
      <c r="J14" s="4"/>
      <c r="K14" s="2"/>
      <c r="L14" s="2"/>
      <c r="M14" s="2"/>
      <c r="N14" s="2"/>
      <c r="O14" s="2"/>
      <c r="P14" s="2"/>
      <c r="Q14" s="2"/>
      <c r="R14" s="2"/>
      <c r="S14" s="2"/>
      <c r="T14" s="9"/>
      <c r="U14" s="9"/>
      <c r="V14" s="9"/>
      <c r="W14" s="9"/>
      <c r="X14" s="9"/>
      <c r="Y14" s="7"/>
      <c r="Z14" s="7"/>
      <c r="AA14" s="7"/>
      <c r="AB14" s="7"/>
      <c r="AC14" s="7"/>
      <c r="AD14" s="7"/>
      <c r="AE14" s="7"/>
      <c r="AF14" s="7"/>
      <c r="AG14" s="7"/>
    </row>
    <row r="15" spans="1:33" s="10" customFormat="1" ht="104.25" customHeight="1" outlineLevel="1" x14ac:dyDescent="0.55000000000000004">
      <c r="A15" s="7"/>
      <c r="B15" s="11" t="s">
        <v>20</v>
      </c>
      <c r="C15" s="12" t="s">
        <v>6</v>
      </c>
      <c r="D15" s="17" t="s">
        <v>21</v>
      </c>
      <c r="E15" s="12" t="s">
        <v>6</v>
      </c>
      <c r="F15" s="13" t="s">
        <v>22</v>
      </c>
      <c r="G15" s="12" t="s">
        <v>6</v>
      </c>
      <c r="H15" s="6"/>
      <c r="I15" s="1"/>
      <c r="J15" s="1"/>
      <c r="K15" s="2"/>
      <c r="L15" s="2"/>
      <c r="M15" s="2"/>
      <c r="N15" s="2"/>
      <c r="O15" s="2"/>
      <c r="P15" s="2"/>
      <c r="Q15" s="2"/>
      <c r="R15" s="2"/>
      <c r="S15" s="2"/>
      <c r="T15" s="9"/>
      <c r="U15" s="9"/>
      <c r="V15" s="9"/>
      <c r="W15" s="9"/>
      <c r="X15" s="9"/>
      <c r="Y15" s="7"/>
      <c r="Z15" s="7"/>
      <c r="AA15" s="7"/>
      <c r="AB15" s="7"/>
      <c r="AC15" s="7"/>
      <c r="AD15" s="7"/>
      <c r="AE15" s="7"/>
      <c r="AF15" s="7"/>
      <c r="AG15" s="7"/>
    </row>
    <row r="16" spans="1:33" s="10" customFormat="1" ht="108.75" customHeight="1" outlineLevel="1" x14ac:dyDescent="0.55000000000000004">
      <c r="A16" s="7"/>
      <c r="B16" s="11" t="s">
        <v>23</v>
      </c>
      <c r="C16" s="12" t="s">
        <v>6</v>
      </c>
      <c r="D16" s="17" t="s">
        <v>24</v>
      </c>
      <c r="E16" s="12" t="s">
        <v>6</v>
      </c>
      <c r="F16" s="13" t="s">
        <v>25</v>
      </c>
      <c r="G16" s="12" t="s">
        <v>6</v>
      </c>
      <c r="H16" s="6"/>
      <c r="I16" s="1"/>
      <c r="J16" s="1"/>
      <c r="K16" s="2"/>
      <c r="L16" s="2"/>
      <c r="M16" s="2"/>
      <c r="N16" s="2"/>
      <c r="O16" s="2"/>
      <c r="P16" s="2"/>
      <c r="Q16" s="2"/>
      <c r="R16" s="2"/>
      <c r="S16" s="2"/>
      <c r="T16" s="9"/>
      <c r="U16" s="9"/>
      <c r="V16" s="9"/>
      <c r="W16" s="9"/>
      <c r="X16" s="9"/>
      <c r="Y16" s="7"/>
      <c r="Z16" s="7"/>
      <c r="AA16" s="7"/>
      <c r="AB16" s="7"/>
      <c r="AC16" s="7"/>
      <c r="AD16" s="7"/>
      <c r="AE16" s="7"/>
      <c r="AF16" s="7"/>
      <c r="AG16" s="7"/>
    </row>
    <row r="17" spans="1:33" ht="38.5" customHeight="1" outlineLevel="1" x14ac:dyDescent="0.55000000000000004">
      <c r="A17" s="2"/>
      <c r="B17" s="2"/>
      <c r="C17" s="2"/>
      <c r="D17" s="2"/>
      <c r="E17" s="2"/>
      <c r="F17" s="2"/>
      <c r="G17" s="2"/>
      <c r="I17" s="2"/>
      <c r="J17" s="1"/>
      <c r="K17" s="2"/>
      <c r="L17" s="2"/>
      <c r="M17" s="2"/>
      <c r="N17" s="2"/>
      <c r="O17" s="2"/>
      <c r="P17" s="2"/>
      <c r="Q17" s="2"/>
      <c r="R17" s="2"/>
      <c r="S17" s="2"/>
      <c r="T17" s="1"/>
      <c r="U17" s="1"/>
      <c r="V17" s="14"/>
      <c r="W17" s="14"/>
      <c r="X17" s="14"/>
      <c r="Y17" s="3"/>
      <c r="Z17" s="3"/>
      <c r="AA17" s="3"/>
      <c r="AB17" s="3"/>
      <c r="AC17" s="3"/>
      <c r="AD17" s="3"/>
      <c r="AE17" s="3"/>
      <c r="AF17" s="3"/>
      <c r="AG17" s="3"/>
    </row>
    <row r="18" spans="1:33" s="10" customFormat="1" ht="31.4" customHeight="1" x14ac:dyDescent="0.55000000000000004">
      <c r="A18" s="7"/>
      <c r="B18" s="246" t="s">
        <v>26</v>
      </c>
      <c r="C18" s="246"/>
      <c r="D18" s="246"/>
      <c r="E18" s="246"/>
      <c r="F18" s="246"/>
      <c r="G18" s="246"/>
      <c r="H18" s="8"/>
      <c r="I18" s="4"/>
      <c r="J18" s="4"/>
      <c r="K18" s="2"/>
      <c r="L18" s="2"/>
      <c r="M18" s="2"/>
      <c r="N18" s="2"/>
      <c r="O18" s="2"/>
      <c r="P18" s="2"/>
      <c r="Q18" s="2"/>
      <c r="R18" s="2"/>
      <c r="S18" s="2"/>
      <c r="T18" s="9"/>
      <c r="U18" s="9"/>
      <c r="V18" s="9"/>
      <c r="W18" s="9"/>
      <c r="X18" s="9"/>
      <c r="Y18" s="7"/>
      <c r="Z18" s="7"/>
      <c r="AA18" s="7"/>
      <c r="AB18" s="7"/>
      <c r="AC18" s="7"/>
      <c r="AD18" s="7"/>
      <c r="AE18" s="7"/>
      <c r="AF18" s="7"/>
      <c r="AG18" s="7"/>
    </row>
    <row r="19" spans="1:33" s="10" customFormat="1" ht="31.4" customHeight="1" outlineLevel="1" x14ac:dyDescent="0.55000000000000004">
      <c r="A19" s="7"/>
      <c r="B19" s="247" t="s">
        <v>2</v>
      </c>
      <c r="C19" s="247"/>
      <c r="D19" s="247" t="s">
        <v>3</v>
      </c>
      <c r="E19" s="247"/>
      <c r="F19" s="247" t="s">
        <v>4</v>
      </c>
      <c r="G19" s="247"/>
      <c r="H19" s="4"/>
      <c r="I19" s="4"/>
      <c r="J19" s="4"/>
      <c r="K19" s="2"/>
      <c r="L19" s="2"/>
      <c r="M19" s="2"/>
      <c r="N19" s="2"/>
      <c r="O19" s="2"/>
      <c r="P19" s="2"/>
      <c r="Q19" s="2"/>
      <c r="R19" s="2"/>
      <c r="S19" s="2"/>
      <c r="T19" s="9"/>
      <c r="U19" s="9"/>
      <c r="V19" s="9"/>
      <c r="W19" s="9"/>
      <c r="X19" s="9"/>
      <c r="Y19" s="7"/>
      <c r="Z19" s="7"/>
      <c r="AA19" s="7"/>
      <c r="AB19" s="7"/>
      <c r="AC19" s="7"/>
      <c r="AD19" s="7"/>
      <c r="AE19" s="7"/>
      <c r="AF19" s="7"/>
      <c r="AG19" s="7"/>
    </row>
    <row r="20" spans="1:33" s="10" customFormat="1" ht="75" customHeight="1" outlineLevel="1" x14ac:dyDescent="0.55000000000000004">
      <c r="A20" s="7"/>
      <c r="B20" s="11" t="s">
        <v>27</v>
      </c>
      <c r="C20" s="12" t="s">
        <v>6</v>
      </c>
      <c r="D20" s="11" t="s">
        <v>28</v>
      </c>
      <c r="E20" s="12" t="s">
        <v>6</v>
      </c>
      <c r="F20" s="13" t="s">
        <v>29</v>
      </c>
      <c r="G20" s="12" t="s">
        <v>6</v>
      </c>
      <c r="H20" s="6"/>
      <c r="I20" s="1"/>
      <c r="J20" s="1"/>
      <c r="K20" s="2"/>
      <c r="L20" s="2"/>
      <c r="M20" s="2"/>
      <c r="N20" s="2"/>
      <c r="O20" s="2"/>
      <c r="P20" s="2"/>
      <c r="Q20" s="2"/>
      <c r="R20" s="2"/>
      <c r="S20" s="2"/>
      <c r="T20" s="9"/>
      <c r="U20" s="9"/>
      <c r="V20" s="9"/>
      <c r="W20" s="9"/>
      <c r="X20" s="9"/>
      <c r="Y20" s="7"/>
      <c r="Z20" s="7"/>
      <c r="AA20" s="7"/>
      <c r="AB20" s="7"/>
      <c r="AC20" s="7"/>
      <c r="AD20" s="7"/>
      <c r="AE20" s="7"/>
      <c r="AF20" s="7"/>
      <c r="AG20" s="7"/>
    </row>
    <row r="21" spans="1:33" s="10" customFormat="1" ht="75" customHeight="1" outlineLevel="1" x14ac:dyDescent="0.55000000000000004">
      <c r="A21" s="7"/>
      <c r="B21" s="11" t="s">
        <v>30</v>
      </c>
      <c r="C21" s="12" t="s">
        <v>6</v>
      </c>
      <c r="D21" s="11" t="s">
        <v>31</v>
      </c>
      <c r="E21" s="12" t="s">
        <v>6</v>
      </c>
      <c r="F21" s="13" t="s">
        <v>32</v>
      </c>
      <c r="G21" s="12" t="s">
        <v>6</v>
      </c>
      <c r="H21" s="6"/>
      <c r="I21" s="1"/>
      <c r="J21" s="1"/>
      <c r="K21" s="2"/>
      <c r="L21" s="2"/>
      <c r="M21" s="2"/>
      <c r="N21" s="2"/>
      <c r="O21" s="2"/>
      <c r="P21" s="2"/>
      <c r="Q21" s="2"/>
      <c r="R21" s="2"/>
      <c r="S21" s="2"/>
      <c r="T21" s="9"/>
      <c r="U21" s="9"/>
      <c r="V21" s="9"/>
      <c r="W21" s="9"/>
      <c r="X21" s="9"/>
      <c r="Y21" s="7"/>
      <c r="Z21" s="7"/>
      <c r="AA21" s="7"/>
      <c r="AB21" s="7"/>
      <c r="AC21" s="7"/>
      <c r="AD21" s="7"/>
      <c r="AE21" s="7"/>
      <c r="AF21" s="7"/>
      <c r="AG21" s="7"/>
    </row>
    <row r="22" spans="1:33" ht="38.5" customHeight="1" outlineLevel="1" x14ac:dyDescent="0.55000000000000004">
      <c r="A22" s="2"/>
      <c r="B22" s="2"/>
      <c r="C22" s="2"/>
      <c r="D22" s="2"/>
      <c r="E22" s="2"/>
      <c r="F22" s="2"/>
      <c r="G22" s="2"/>
      <c r="I22" s="2"/>
      <c r="J22" s="1"/>
      <c r="K22" s="2"/>
      <c r="L22" s="2"/>
      <c r="M22" s="2"/>
      <c r="N22" s="2"/>
      <c r="O22" s="2"/>
      <c r="P22" s="2"/>
      <c r="Q22" s="2"/>
      <c r="R22" s="2"/>
      <c r="S22" s="2"/>
      <c r="T22" s="1"/>
      <c r="U22" s="1"/>
      <c r="V22" s="14"/>
      <c r="W22" s="14"/>
      <c r="X22" s="14"/>
      <c r="Y22" s="3"/>
      <c r="Z22" s="3"/>
      <c r="AA22" s="3"/>
      <c r="AB22" s="3"/>
      <c r="AC22" s="3"/>
      <c r="AD22" s="3"/>
      <c r="AE22" s="3"/>
      <c r="AF22" s="3"/>
      <c r="AG22" s="3"/>
    </row>
    <row r="23" spans="1:33" s="10" customFormat="1" ht="31.4" customHeight="1" x14ac:dyDescent="0.55000000000000004">
      <c r="A23" s="7"/>
      <c r="B23" s="246" t="s">
        <v>33</v>
      </c>
      <c r="C23" s="246"/>
      <c r="D23" s="246"/>
      <c r="E23" s="246"/>
      <c r="F23" s="246"/>
      <c r="G23" s="246"/>
      <c r="H23" s="8"/>
      <c r="I23" s="4"/>
      <c r="J23" s="4"/>
      <c r="K23" s="2"/>
      <c r="L23" s="2"/>
      <c r="M23" s="2"/>
      <c r="N23" s="2"/>
      <c r="O23" s="2"/>
      <c r="P23" s="2"/>
      <c r="Q23" s="2"/>
      <c r="R23" s="2"/>
      <c r="S23" s="2"/>
      <c r="T23" s="9"/>
      <c r="U23" s="9"/>
      <c r="V23" s="9"/>
      <c r="W23" s="9"/>
      <c r="X23" s="9"/>
      <c r="Y23" s="7"/>
      <c r="Z23" s="7"/>
      <c r="AA23" s="7"/>
      <c r="AB23" s="7"/>
      <c r="AC23" s="7"/>
      <c r="AD23" s="7"/>
      <c r="AE23" s="7"/>
      <c r="AF23" s="7"/>
      <c r="AG23" s="7"/>
    </row>
    <row r="24" spans="1:33" s="10" customFormat="1" ht="31.4" customHeight="1" outlineLevel="1" x14ac:dyDescent="0.55000000000000004">
      <c r="A24" s="7"/>
      <c r="B24" s="247" t="s">
        <v>2</v>
      </c>
      <c r="C24" s="247"/>
      <c r="D24" s="247" t="s">
        <v>3</v>
      </c>
      <c r="E24" s="247"/>
      <c r="F24" s="247" t="s">
        <v>4</v>
      </c>
      <c r="G24" s="247"/>
      <c r="H24" s="4"/>
      <c r="I24" s="4"/>
      <c r="J24" s="4"/>
      <c r="K24" s="2"/>
      <c r="L24" s="2"/>
      <c r="M24" s="2"/>
      <c r="N24" s="2"/>
      <c r="O24" s="2"/>
      <c r="P24" s="2"/>
      <c r="Q24" s="2"/>
      <c r="R24" s="2"/>
      <c r="S24" s="2"/>
      <c r="T24" s="9"/>
      <c r="U24" s="9"/>
      <c r="V24" s="9"/>
      <c r="W24" s="9"/>
      <c r="X24" s="9"/>
      <c r="Y24" s="7"/>
      <c r="Z24" s="7"/>
      <c r="AA24" s="7"/>
      <c r="AB24" s="7"/>
      <c r="AC24" s="7"/>
      <c r="AD24" s="7"/>
      <c r="AE24" s="7"/>
      <c r="AF24" s="7"/>
      <c r="AG24" s="7"/>
    </row>
    <row r="25" spans="1:33" ht="79.400000000000006" customHeight="1" outlineLevel="1" x14ac:dyDescent="0.55000000000000004">
      <c r="A25" s="3"/>
      <c r="B25" s="11" t="s">
        <v>34</v>
      </c>
      <c r="C25" s="12" t="s">
        <v>319</v>
      </c>
      <c r="D25" s="13" t="s">
        <v>35</v>
      </c>
      <c r="E25" s="12" t="s">
        <v>6</v>
      </c>
      <c r="F25" s="13" t="s">
        <v>36</v>
      </c>
      <c r="G25" s="12" t="s">
        <v>319</v>
      </c>
      <c r="H25" s="1"/>
      <c r="I25" s="1"/>
      <c r="J25" s="1"/>
      <c r="K25" s="2"/>
      <c r="L25" s="2"/>
      <c r="M25" s="2"/>
      <c r="N25" s="2"/>
      <c r="O25" s="2"/>
      <c r="P25" s="2"/>
      <c r="Q25" s="2"/>
      <c r="R25" s="2"/>
      <c r="S25" s="2"/>
      <c r="T25" s="14"/>
      <c r="U25" s="14"/>
      <c r="V25" s="14"/>
      <c r="W25" s="14"/>
      <c r="X25" s="14"/>
      <c r="Y25" s="3"/>
      <c r="Z25" s="3"/>
      <c r="AA25" s="3"/>
      <c r="AB25" s="3"/>
      <c r="AC25" s="3"/>
      <c r="AD25" s="3"/>
      <c r="AE25" s="3"/>
      <c r="AF25" s="3"/>
      <c r="AG25" s="3"/>
    </row>
    <row r="26" spans="1:33" s="10" customFormat="1" ht="79.400000000000006" customHeight="1" outlineLevel="1" x14ac:dyDescent="0.55000000000000004">
      <c r="A26" s="7"/>
      <c r="B26" s="13" t="s">
        <v>37</v>
      </c>
      <c r="C26" s="12" t="s">
        <v>319</v>
      </c>
      <c r="D26" s="18" t="s">
        <v>38</v>
      </c>
      <c r="E26" s="12" t="s">
        <v>6</v>
      </c>
      <c r="F26" s="13" t="s">
        <v>39</v>
      </c>
      <c r="G26" s="12" t="s">
        <v>6</v>
      </c>
      <c r="H26" s="6"/>
      <c r="I26" s="1"/>
      <c r="J26" s="1"/>
      <c r="K26" s="2"/>
      <c r="L26" s="2"/>
      <c r="M26" s="2"/>
      <c r="N26" s="2"/>
      <c r="O26" s="2"/>
      <c r="P26" s="2"/>
      <c r="Q26" s="2"/>
      <c r="R26" s="2"/>
      <c r="S26" s="2"/>
      <c r="T26" s="9"/>
      <c r="U26" s="9"/>
      <c r="V26" s="9"/>
      <c r="W26" s="9"/>
      <c r="X26" s="9"/>
      <c r="Y26" s="7"/>
      <c r="Z26" s="7"/>
      <c r="AA26" s="7"/>
      <c r="AB26" s="7"/>
      <c r="AC26" s="7"/>
      <c r="AD26" s="7"/>
      <c r="AE26" s="7"/>
      <c r="AF26" s="7"/>
      <c r="AG26" s="7"/>
    </row>
    <row r="27" spans="1:33" ht="38.5" customHeight="1" outlineLevel="1" x14ac:dyDescent="0.55000000000000004">
      <c r="A27" s="14"/>
      <c r="B27" s="14"/>
      <c r="C27" s="14"/>
      <c r="D27" s="14"/>
      <c r="E27" s="14"/>
      <c r="F27" s="14"/>
      <c r="G27" s="14"/>
      <c r="H27" s="14"/>
      <c r="I27" s="14"/>
      <c r="J27" s="1"/>
      <c r="K27" s="2"/>
      <c r="L27" s="2"/>
      <c r="M27" s="2"/>
      <c r="N27" s="2"/>
      <c r="O27" s="2"/>
      <c r="P27" s="2"/>
      <c r="Q27" s="2"/>
      <c r="R27" s="2"/>
      <c r="S27" s="2"/>
      <c r="T27" s="1"/>
      <c r="U27" s="1"/>
      <c r="V27" s="14"/>
      <c r="W27" s="14"/>
      <c r="X27" s="14"/>
      <c r="Y27" s="3"/>
      <c r="Z27" s="3"/>
      <c r="AA27" s="3"/>
      <c r="AB27" s="3"/>
      <c r="AC27" s="3"/>
      <c r="AD27" s="3"/>
      <c r="AE27" s="3"/>
      <c r="AF27" s="3"/>
      <c r="AG27" s="3"/>
    </row>
    <row r="28" spans="1:33" s="10" customFormat="1" ht="31.4" customHeight="1" x14ac:dyDescent="0.55000000000000004">
      <c r="A28" s="7"/>
      <c r="B28" s="245" t="s">
        <v>40</v>
      </c>
      <c r="C28" s="245"/>
      <c r="D28" s="245"/>
      <c r="E28" s="245"/>
      <c r="F28" s="245"/>
      <c r="G28" s="245"/>
      <c r="H28" s="8"/>
      <c r="I28" s="4"/>
      <c r="J28" s="4"/>
      <c r="K28" s="2"/>
      <c r="L28" s="2"/>
      <c r="M28" s="2"/>
      <c r="N28" s="2"/>
      <c r="O28" s="2"/>
      <c r="P28" s="2"/>
      <c r="Q28" s="2"/>
      <c r="R28" s="2"/>
      <c r="S28" s="2"/>
      <c r="T28" s="9"/>
      <c r="U28" s="9"/>
      <c r="V28" s="9"/>
      <c r="W28" s="9"/>
      <c r="X28" s="9"/>
      <c r="Y28" s="7"/>
      <c r="Z28" s="7"/>
      <c r="AA28" s="7"/>
      <c r="AB28" s="7"/>
      <c r="AC28" s="7"/>
      <c r="AD28" s="7"/>
      <c r="AE28" s="7"/>
      <c r="AF28" s="7"/>
      <c r="AG28" s="7"/>
    </row>
    <row r="29" spans="1:33" s="10" customFormat="1" ht="31.4" customHeight="1" outlineLevel="1" x14ac:dyDescent="0.55000000000000004">
      <c r="A29" s="7"/>
      <c r="B29" s="247" t="s">
        <v>2</v>
      </c>
      <c r="C29" s="247"/>
      <c r="D29" s="247" t="s">
        <v>3</v>
      </c>
      <c r="E29" s="247"/>
      <c r="F29" s="247" t="s">
        <v>4</v>
      </c>
      <c r="G29" s="247"/>
      <c r="H29" s="4"/>
      <c r="I29" s="4"/>
      <c r="J29" s="4"/>
      <c r="K29" s="2"/>
      <c r="L29" s="2"/>
      <c r="M29" s="2"/>
      <c r="N29" s="2"/>
      <c r="O29" s="2"/>
      <c r="P29" s="2"/>
      <c r="Q29" s="2"/>
      <c r="R29" s="2"/>
      <c r="S29" s="2"/>
      <c r="T29" s="9"/>
      <c r="U29" s="9"/>
      <c r="V29" s="9"/>
      <c r="W29" s="9"/>
      <c r="X29" s="9"/>
      <c r="Y29" s="7"/>
      <c r="Z29" s="7"/>
      <c r="AA29" s="7"/>
      <c r="AB29" s="7"/>
      <c r="AC29" s="7"/>
      <c r="AD29" s="7"/>
      <c r="AE29" s="7"/>
      <c r="AF29" s="7"/>
      <c r="AG29" s="7"/>
    </row>
    <row r="30" spans="1:33" s="10" customFormat="1" ht="79.400000000000006" customHeight="1" outlineLevel="1" x14ac:dyDescent="0.55000000000000004">
      <c r="A30" s="7"/>
      <c r="B30" s="19" t="s">
        <v>41</v>
      </c>
      <c r="C30" s="12" t="s">
        <v>6</v>
      </c>
      <c r="D30" s="19" t="s">
        <v>42</v>
      </c>
      <c r="E30" s="12" t="s">
        <v>6</v>
      </c>
      <c r="F30" s="19" t="s">
        <v>43</v>
      </c>
      <c r="G30" s="12" t="s">
        <v>6</v>
      </c>
      <c r="H30" s="6"/>
      <c r="I30" s="1"/>
      <c r="J30" s="1"/>
      <c r="K30" s="2"/>
      <c r="L30" s="2"/>
      <c r="M30" s="2"/>
      <c r="N30" s="2"/>
      <c r="O30" s="2"/>
      <c r="P30" s="2"/>
      <c r="Q30" s="2"/>
      <c r="R30" s="2"/>
      <c r="S30" s="2"/>
      <c r="T30" s="9"/>
      <c r="U30" s="9"/>
      <c r="V30" s="9"/>
      <c r="W30" s="9"/>
      <c r="X30" s="9"/>
      <c r="Y30" s="7"/>
      <c r="Z30" s="7"/>
      <c r="AA30" s="7"/>
      <c r="AB30" s="7"/>
      <c r="AC30" s="7"/>
      <c r="AD30" s="7"/>
      <c r="AE30" s="7"/>
      <c r="AF30" s="7"/>
      <c r="AG30" s="7"/>
    </row>
    <row r="31" spans="1:33" s="10" customFormat="1" ht="64.400000000000006" customHeight="1" outlineLevel="1" x14ac:dyDescent="0.55000000000000004">
      <c r="A31" s="7"/>
      <c r="B31" s="19" t="s">
        <v>44</v>
      </c>
      <c r="C31" s="12" t="s">
        <v>6</v>
      </c>
      <c r="D31" s="19" t="s">
        <v>45</v>
      </c>
      <c r="E31" s="12" t="s">
        <v>6</v>
      </c>
      <c r="F31" s="19" t="s">
        <v>46</v>
      </c>
      <c r="G31" s="12" t="s">
        <v>6</v>
      </c>
      <c r="H31" s="6"/>
      <c r="I31" s="1"/>
      <c r="J31" s="1"/>
      <c r="K31" s="2"/>
      <c r="L31" s="2"/>
      <c r="M31" s="2"/>
      <c r="N31" s="2"/>
      <c r="O31" s="2"/>
      <c r="P31" s="2"/>
      <c r="Q31" s="2"/>
      <c r="R31" s="2"/>
      <c r="S31" s="2"/>
      <c r="T31" s="9"/>
      <c r="U31" s="9"/>
      <c r="V31" s="9"/>
      <c r="W31" s="9"/>
      <c r="X31" s="9"/>
      <c r="Y31" s="7"/>
      <c r="Z31" s="7"/>
      <c r="AA31" s="7"/>
      <c r="AB31" s="7"/>
      <c r="AC31" s="7"/>
      <c r="AD31" s="7"/>
      <c r="AE31" s="7"/>
      <c r="AF31" s="7"/>
      <c r="AG31" s="7"/>
    </row>
    <row r="32" spans="1:33" s="10" customFormat="1" ht="64.400000000000006" customHeight="1" outlineLevel="1" x14ac:dyDescent="0.55000000000000004">
      <c r="A32" s="7"/>
      <c r="B32" s="19" t="s">
        <v>47</v>
      </c>
      <c r="C32" s="12" t="s">
        <v>6</v>
      </c>
      <c r="D32" s="19" t="s">
        <v>48</v>
      </c>
      <c r="E32" s="12" t="s">
        <v>6</v>
      </c>
      <c r="F32" s="19" t="s">
        <v>49</v>
      </c>
      <c r="G32" s="12" t="s">
        <v>6</v>
      </c>
      <c r="H32" s="6"/>
      <c r="I32" s="1"/>
      <c r="J32" s="1"/>
      <c r="K32" s="2"/>
      <c r="L32" s="2"/>
      <c r="M32" s="2"/>
      <c r="N32" s="2"/>
      <c r="O32" s="2"/>
      <c r="P32" s="2"/>
      <c r="Q32" s="2"/>
      <c r="R32" s="2"/>
      <c r="S32" s="2"/>
      <c r="T32" s="1"/>
      <c r="U32" s="1"/>
      <c r="V32" s="9"/>
      <c r="W32" s="9"/>
      <c r="X32" s="9"/>
      <c r="Y32" s="7"/>
      <c r="Z32" s="7"/>
      <c r="AA32" s="7"/>
      <c r="AB32" s="7"/>
      <c r="AC32" s="7"/>
      <c r="AD32" s="7"/>
      <c r="AE32" s="7"/>
      <c r="AF32" s="7"/>
      <c r="AG32" s="7"/>
    </row>
    <row r="33" spans="1:33" ht="38.5" customHeight="1" outlineLevel="1" x14ac:dyDescent="0.55000000000000004">
      <c r="A33" s="2"/>
      <c r="B33" s="2"/>
      <c r="C33" s="2"/>
      <c r="D33" s="2"/>
      <c r="E33" s="2"/>
      <c r="F33" s="2"/>
      <c r="G33" s="2"/>
      <c r="I33" s="2"/>
      <c r="J33" s="1"/>
      <c r="K33" s="2"/>
      <c r="L33" s="2"/>
      <c r="M33" s="2"/>
      <c r="N33" s="2"/>
      <c r="O33" s="2"/>
      <c r="P33" s="2"/>
      <c r="Q33" s="2"/>
      <c r="R33" s="2"/>
      <c r="S33" s="2"/>
      <c r="T33" s="1"/>
      <c r="U33" s="1"/>
      <c r="V33" s="14"/>
      <c r="W33" s="14"/>
      <c r="X33" s="14"/>
      <c r="Y33" s="3"/>
      <c r="Z33" s="3"/>
      <c r="AA33" s="3"/>
      <c r="AB33" s="3"/>
      <c r="AC33" s="3"/>
      <c r="AD33" s="3"/>
      <c r="AE33" s="3"/>
      <c r="AF33" s="3"/>
      <c r="AG33" s="3"/>
    </row>
    <row r="34" spans="1:33" s="10" customFormat="1" ht="31.4" customHeight="1" x14ac:dyDescent="0.55000000000000004">
      <c r="A34" s="7"/>
      <c r="B34" s="246" t="s">
        <v>50</v>
      </c>
      <c r="C34" s="246"/>
      <c r="D34" s="246"/>
      <c r="E34" s="246"/>
      <c r="F34" s="246"/>
      <c r="G34" s="246"/>
      <c r="H34" s="8"/>
      <c r="I34" s="4"/>
      <c r="J34" s="4"/>
      <c r="K34" s="2"/>
      <c r="L34" s="2"/>
      <c r="M34" s="2"/>
      <c r="N34" s="2"/>
      <c r="O34" s="2"/>
      <c r="P34" s="2"/>
      <c r="Q34" s="2"/>
      <c r="R34" s="2"/>
      <c r="S34" s="2"/>
      <c r="T34" s="9"/>
      <c r="U34" s="9"/>
      <c r="V34" s="9"/>
      <c r="W34" s="9"/>
      <c r="X34" s="9"/>
      <c r="Y34" s="7"/>
      <c r="Z34" s="7"/>
      <c r="AA34" s="7"/>
      <c r="AB34" s="7"/>
      <c r="AC34" s="7"/>
      <c r="AD34" s="7"/>
      <c r="AE34" s="7"/>
      <c r="AF34" s="7"/>
      <c r="AG34" s="7"/>
    </row>
    <row r="35" spans="1:33" s="10" customFormat="1" ht="31.4" customHeight="1" outlineLevel="1" x14ac:dyDescent="0.55000000000000004">
      <c r="A35" s="7"/>
      <c r="B35" s="247" t="s">
        <v>2</v>
      </c>
      <c r="C35" s="247"/>
      <c r="D35" s="247" t="s">
        <v>3</v>
      </c>
      <c r="E35" s="247"/>
      <c r="F35" s="247" t="s">
        <v>4</v>
      </c>
      <c r="G35" s="247"/>
      <c r="H35" s="4"/>
      <c r="I35" s="4"/>
      <c r="J35" s="4"/>
      <c r="K35" s="2"/>
      <c r="L35" s="2"/>
      <c r="M35" s="2"/>
      <c r="N35" s="2"/>
      <c r="O35" s="2"/>
      <c r="P35" s="2"/>
      <c r="Q35" s="2"/>
      <c r="R35" s="2"/>
      <c r="S35" s="2"/>
      <c r="T35" s="9"/>
      <c r="U35" s="9"/>
      <c r="V35" s="9"/>
      <c r="W35" s="9"/>
      <c r="X35" s="9"/>
      <c r="Y35" s="7"/>
      <c r="Z35" s="7"/>
      <c r="AA35" s="7"/>
      <c r="AB35" s="7"/>
      <c r="AC35" s="7"/>
      <c r="AD35" s="7"/>
      <c r="AE35" s="7"/>
      <c r="AF35" s="7"/>
      <c r="AG35" s="7"/>
    </row>
    <row r="36" spans="1:33" s="10" customFormat="1" ht="64.400000000000006" customHeight="1" outlineLevel="1" x14ac:dyDescent="0.55000000000000004">
      <c r="A36" s="7"/>
      <c r="B36" s="20" t="s">
        <v>51</v>
      </c>
      <c r="C36" s="12" t="s">
        <v>6</v>
      </c>
      <c r="D36" s="17" t="s">
        <v>52</v>
      </c>
      <c r="E36" s="12" t="s">
        <v>6</v>
      </c>
      <c r="F36" s="17" t="s">
        <v>53</v>
      </c>
      <c r="G36" s="12" t="s">
        <v>6</v>
      </c>
      <c r="H36" s="6"/>
      <c r="I36" s="1"/>
      <c r="J36" s="1"/>
      <c r="K36" s="2"/>
      <c r="L36" s="2"/>
      <c r="M36" s="2"/>
      <c r="N36" s="2"/>
      <c r="O36" s="2"/>
      <c r="P36" s="2"/>
      <c r="Q36" s="2"/>
      <c r="R36" s="2"/>
      <c r="S36" s="2"/>
      <c r="T36" s="9"/>
      <c r="U36" s="9"/>
      <c r="V36" s="9"/>
      <c r="W36" s="9"/>
      <c r="X36" s="9"/>
      <c r="Y36" s="7"/>
      <c r="Z36" s="7"/>
      <c r="AA36" s="7"/>
      <c r="AB36" s="7"/>
      <c r="AC36" s="7"/>
      <c r="AD36" s="7"/>
      <c r="AE36" s="7"/>
      <c r="AF36" s="7"/>
      <c r="AG36" s="7"/>
    </row>
    <row r="37" spans="1:33" s="10" customFormat="1" ht="64.400000000000006" customHeight="1" outlineLevel="1" x14ac:dyDescent="0.55000000000000004">
      <c r="A37" s="7"/>
      <c r="B37" s="20" t="s">
        <v>54</v>
      </c>
      <c r="C37" s="12" t="s">
        <v>6</v>
      </c>
      <c r="D37" s="17" t="s">
        <v>55</v>
      </c>
      <c r="E37" s="12" t="s">
        <v>6</v>
      </c>
      <c r="F37" s="20" t="s">
        <v>56</v>
      </c>
      <c r="G37" s="12" t="s">
        <v>6</v>
      </c>
      <c r="H37" s="6"/>
      <c r="I37" s="1"/>
      <c r="J37" s="1"/>
      <c r="K37" s="2"/>
      <c r="L37" s="2"/>
      <c r="M37" s="2"/>
      <c r="N37" s="2"/>
      <c r="O37" s="2"/>
      <c r="P37" s="2"/>
      <c r="Q37" s="2"/>
      <c r="R37" s="2"/>
      <c r="S37" s="2"/>
      <c r="T37" s="9"/>
      <c r="U37" s="9"/>
      <c r="V37" s="9"/>
      <c r="W37" s="9"/>
      <c r="X37" s="9"/>
      <c r="Y37" s="7"/>
      <c r="Z37" s="7"/>
      <c r="AA37" s="7"/>
      <c r="AB37" s="7"/>
      <c r="AC37" s="7"/>
      <c r="AD37" s="7"/>
      <c r="AE37" s="7"/>
      <c r="AF37" s="7"/>
      <c r="AG37" s="7"/>
    </row>
    <row r="38" spans="1:33" ht="38.5" customHeight="1" x14ac:dyDescent="0.55000000000000004">
      <c r="A38" s="3"/>
      <c r="B38" s="2"/>
      <c r="C38" s="2"/>
      <c r="D38" s="2"/>
      <c r="E38" s="2"/>
      <c r="F38" s="2"/>
      <c r="G38" s="2"/>
      <c r="I38" s="2"/>
      <c r="J38" s="2"/>
      <c r="K38" s="2"/>
      <c r="L38" s="2"/>
      <c r="M38" s="2"/>
      <c r="N38" s="2"/>
      <c r="O38" s="2"/>
      <c r="P38" s="2"/>
      <c r="Q38" s="2"/>
      <c r="R38" s="2"/>
      <c r="S38" s="2"/>
      <c r="T38" s="1"/>
      <c r="U38" s="1"/>
      <c r="V38" s="14"/>
      <c r="W38" s="14"/>
      <c r="X38" s="14"/>
      <c r="Y38" s="3"/>
      <c r="Z38" s="3"/>
      <c r="AA38" s="3"/>
      <c r="AB38" s="3"/>
      <c r="AC38" s="3"/>
      <c r="AD38" s="3"/>
      <c r="AE38" s="3"/>
      <c r="AF38" s="3"/>
      <c r="AG38" s="3"/>
    </row>
    <row r="39" spans="1:33" s="10" customFormat="1" ht="31.4" customHeight="1" x14ac:dyDescent="0.55000000000000004">
      <c r="A39" s="7"/>
      <c r="B39" s="246" t="s">
        <v>57</v>
      </c>
      <c r="C39" s="246"/>
      <c r="D39" s="246"/>
      <c r="E39" s="246"/>
      <c r="F39" s="246"/>
      <c r="G39" s="246"/>
      <c r="H39" s="8"/>
      <c r="I39" s="4"/>
      <c r="J39" s="4"/>
      <c r="K39" s="2"/>
      <c r="L39" s="2"/>
      <c r="M39" s="2"/>
      <c r="N39" s="2"/>
      <c r="O39" s="2"/>
      <c r="P39" s="2"/>
      <c r="Q39" s="2"/>
      <c r="R39" s="2"/>
      <c r="S39" s="2"/>
      <c r="T39" s="9"/>
      <c r="U39" s="9"/>
      <c r="V39" s="9"/>
      <c r="W39" s="9"/>
      <c r="X39" s="9"/>
      <c r="Y39" s="7"/>
      <c r="Z39" s="7"/>
      <c r="AA39" s="7"/>
      <c r="AB39" s="7"/>
      <c r="AC39" s="7"/>
      <c r="AD39" s="7"/>
      <c r="AE39" s="7"/>
      <c r="AF39" s="7"/>
      <c r="AG39" s="7"/>
    </row>
    <row r="40" spans="1:33" s="10" customFormat="1" ht="31.4" customHeight="1" outlineLevel="1" x14ac:dyDescent="0.55000000000000004">
      <c r="A40" s="7"/>
      <c r="B40" s="247" t="s">
        <v>2</v>
      </c>
      <c r="C40" s="247"/>
      <c r="D40" s="247" t="s">
        <v>3</v>
      </c>
      <c r="E40" s="247"/>
      <c r="F40" s="247" t="s">
        <v>4</v>
      </c>
      <c r="G40" s="247"/>
      <c r="H40" s="4"/>
      <c r="I40" s="4"/>
      <c r="J40" s="4"/>
      <c r="K40" s="2"/>
      <c r="L40" s="2"/>
      <c r="M40" s="2"/>
      <c r="N40" s="2"/>
      <c r="O40" s="2"/>
      <c r="P40" s="2"/>
      <c r="Q40" s="2"/>
      <c r="R40" s="2"/>
      <c r="S40" s="2"/>
      <c r="T40" s="9"/>
      <c r="U40" s="9"/>
      <c r="V40" s="9"/>
      <c r="W40" s="9"/>
      <c r="X40" s="9"/>
      <c r="Y40" s="7"/>
      <c r="Z40" s="7"/>
      <c r="AA40" s="7"/>
      <c r="AB40" s="7"/>
      <c r="AC40" s="7"/>
      <c r="AD40" s="7"/>
      <c r="AE40" s="7"/>
      <c r="AF40" s="7"/>
      <c r="AG40" s="7"/>
    </row>
    <row r="41" spans="1:33" s="10" customFormat="1" ht="90" customHeight="1" outlineLevel="1" x14ac:dyDescent="0.55000000000000004">
      <c r="A41" s="7"/>
      <c r="B41" s="11" t="s">
        <v>58</v>
      </c>
      <c r="C41" s="12" t="s">
        <v>6</v>
      </c>
      <c r="D41" s="13" t="s">
        <v>59</v>
      </c>
      <c r="E41" s="12" t="s">
        <v>6</v>
      </c>
      <c r="F41" s="21" t="s">
        <v>60</v>
      </c>
      <c r="G41" s="22" t="s">
        <v>6</v>
      </c>
      <c r="H41" s="6"/>
      <c r="I41" s="1"/>
      <c r="J41" s="1"/>
      <c r="K41" s="2"/>
      <c r="L41" s="2"/>
      <c r="M41" s="2"/>
      <c r="N41" s="2"/>
      <c r="O41" s="2"/>
      <c r="P41" s="2"/>
      <c r="Q41" s="2"/>
      <c r="R41" s="2"/>
      <c r="S41" s="2"/>
      <c r="T41" s="9"/>
      <c r="U41" s="9"/>
      <c r="V41" s="9"/>
      <c r="W41" s="9"/>
      <c r="X41" s="9"/>
      <c r="Y41" s="7"/>
      <c r="Z41" s="7"/>
      <c r="AA41" s="7"/>
      <c r="AB41" s="7"/>
      <c r="AC41" s="7"/>
      <c r="AD41" s="7"/>
      <c r="AE41" s="7"/>
      <c r="AF41" s="7"/>
      <c r="AG41" s="7"/>
    </row>
    <row r="42" spans="1:33" s="10" customFormat="1" ht="90" customHeight="1" outlineLevel="1" x14ac:dyDescent="0.55000000000000004">
      <c r="A42" s="7"/>
      <c r="B42" s="11" t="s">
        <v>61</v>
      </c>
      <c r="C42" s="12" t="s">
        <v>6</v>
      </c>
      <c r="D42" s="13" t="s">
        <v>62</v>
      </c>
      <c r="E42" s="23" t="s">
        <v>6</v>
      </c>
      <c r="F42" s="24"/>
      <c r="G42" s="25"/>
      <c r="H42" s="6"/>
      <c r="I42" s="1"/>
      <c r="J42" s="1"/>
      <c r="K42" s="2"/>
      <c r="L42" s="2"/>
      <c r="M42" s="2"/>
      <c r="N42" s="2"/>
      <c r="O42" s="2"/>
      <c r="P42" s="2"/>
      <c r="Q42" s="2"/>
      <c r="R42" s="2"/>
      <c r="S42" s="2"/>
      <c r="T42" s="9"/>
      <c r="U42" s="9"/>
      <c r="V42" s="9"/>
      <c r="W42" s="9"/>
      <c r="X42" s="9"/>
      <c r="Y42" s="7"/>
      <c r="Z42" s="7"/>
      <c r="AA42" s="7"/>
      <c r="AB42" s="7"/>
      <c r="AC42" s="7"/>
      <c r="AD42" s="7"/>
      <c r="AE42" s="7"/>
      <c r="AF42" s="7"/>
      <c r="AG42" s="7"/>
    </row>
    <row r="43" spans="1:33" ht="38.5" customHeight="1" outlineLevel="1" x14ac:dyDescent="0.55000000000000004">
      <c r="A43" s="3"/>
      <c r="B43" s="2"/>
      <c r="C43" s="2"/>
      <c r="D43" s="2"/>
      <c r="E43" s="2"/>
      <c r="F43" s="2"/>
      <c r="G43" s="2"/>
      <c r="I43" s="1"/>
      <c r="J43" s="1"/>
      <c r="K43" s="2"/>
      <c r="L43" s="2"/>
      <c r="M43" s="2"/>
      <c r="N43" s="2"/>
      <c r="O43" s="2"/>
      <c r="P43" s="2"/>
      <c r="Q43" s="2"/>
      <c r="R43" s="2"/>
      <c r="S43" s="2"/>
      <c r="T43" s="1"/>
      <c r="U43" s="1"/>
      <c r="V43" s="14"/>
      <c r="W43" s="14"/>
      <c r="X43" s="14"/>
      <c r="Y43" s="3"/>
      <c r="Z43" s="3"/>
      <c r="AA43" s="3"/>
      <c r="AB43" s="3"/>
      <c r="AC43" s="3"/>
      <c r="AD43" s="3"/>
      <c r="AE43" s="3"/>
      <c r="AF43" s="3"/>
      <c r="AG43" s="3"/>
    </row>
    <row r="44" spans="1:33" s="10" customFormat="1" ht="31.4" customHeight="1" x14ac:dyDescent="0.55000000000000004">
      <c r="A44" s="7"/>
      <c r="B44" s="245" t="s">
        <v>63</v>
      </c>
      <c r="C44" s="246"/>
      <c r="D44" s="246"/>
      <c r="E44" s="246"/>
      <c r="F44" s="246"/>
      <c r="G44" s="246"/>
      <c r="H44" s="8"/>
      <c r="I44" s="4"/>
      <c r="J44" s="4"/>
      <c r="K44" s="2"/>
      <c r="L44" s="2"/>
      <c r="M44" s="2"/>
      <c r="N44" s="2"/>
      <c r="O44" s="2"/>
      <c r="P44" s="2"/>
      <c r="Q44" s="2"/>
      <c r="R44" s="2"/>
      <c r="S44" s="2"/>
      <c r="T44" s="9"/>
      <c r="U44" s="9"/>
      <c r="V44" s="9"/>
      <c r="W44" s="9"/>
      <c r="X44" s="9"/>
      <c r="Y44" s="7"/>
      <c r="Z44" s="7"/>
      <c r="AA44" s="7"/>
      <c r="AB44" s="7"/>
      <c r="AC44" s="7"/>
      <c r="AD44" s="7"/>
      <c r="AE44" s="7"/>
      <c r="AF44" s="7"/>
      <c r="AG44" s="7"/>
    </row>
    <row r="45" spans="1:33" s="10" customFormat="1" ht="31.4" customHeight="1" outlineLevel="1" x14ac:dyDescent="0.55000000000000004">
      <c r="A45" s="7"/>
      <c r="B45" s="247" t="s">
        <v>2</v>
      </c>
      <c r="C45" s="247"/>
      <c r="D45" s="247" t="s">
        <v>3</v>
      </c>
      <c r="E45" s="247"/>
      <c r="F45" s="247" t="s">
        <v>4</v>
      </c>
      <c r="G45" s="247"/>
      <c r="H45" s="4"/>
      <c r="I45" s="4"/>
      <c r="J45" s="4"/>
      <c r="K45" s="2"/>
      <c r="L45" s="2"/>
      <c r="M45" s="2"/>
      <c r="N45" s="2"/>
      <c r="O45" s="2"/>
      <c r="P45" s="2"/>
      <c r="Q45" s="2"/>
      <c r="R45" s="2"/>
      <c r="S45" s="2"/>
      <c r="T45" s="9"/>
      <c r="U45" s="9"/>
      <c r="V45" s="9"/>
      <c r="W45" s="9"/>
      <c r="X45" s="9"/>
      <c r="Y45" s="7"/>
      <c r="Z45" s="7"/>
      <c r="AA45" s="7"/>
      <c r="AB45" s="7"/>
      <c r="AC45" s="7"/>
      <c r="AD45" s="7"/>
      <c r="AE45" s="7"/>
      <c r="AF45" s="7"/>
      <c r="AG45" s="7"/>
    </row>
    <row r="46" spans="1:33" s="10" customFormat="1" ht="118.75" customHeight="1" outlineLevel="1" x14ac:dyDescent="0.55000000000000004">
      <c r="A46" s="7"/>
      <c r="B46" s="17" t="s">
        <v>64</v>
      </c>
      <c r="C46" s="12" t="s">
        <v>6</v>
      </c>
      <c r="D46" s="17" t="s">
        <v>65</v>
      </c>
      <c r="E46" s="12" t="s">
        <v>6</v>
      </c>
      <c r="F46" s="20" t="s">
        <v>66</v>
      </c>
      <c r="G46" s="12" t="s">
        <v>6</v>
      </c>
      <c r="H46" s="6"/>
      <c r="I46" s="1"/>
      <c r="J46" s="1"/>
      <c r="K46" s="2"/>
      <c r="L46" s="2"/>
      <c r="M46" s="2"/>
      <c r="N46" s="2"/>
      <c r="O46" s="2"/>
      <c r="P46" s="2"/>
      <c r="Q46" s="2"/>
      <c r="R46" s="2"/>
      <c r="S46" s="2"/>
      <c r="T46" s="9"/>
      <c r="U46" s="9"/>
      <c r="V46" s="9"/>
      <c r="W46" s="9"/>
      <c r="X46" s="9"/>
      <c r="Y46" s="7"/>
      <c r="Z46" s="7"/>
      <c r="AA46" s="7"/>
      <c r="AB46" s="7"/>
      <c r="AC46" s="7"/>
      <c r="AD46" s="7"/>
      <c r="AE46" s="7"/>
      <c r="AF46" s="7"/>
      <c r="AG46" s="7"/>
    </row>
    <row r="47" spans="1:33" s="10" customFormat="1" ht="90" customHeight="1" outlineLevel="1" x14ac:dyDescent="0.55000000000000004">
      <c r="A47" s="7"/>
      <c r="B47" s="17" t="s">
        <v>67</v>
      </c>
      <c r="C47" s="12" t="s">
        <v>6</v>
      </c>
      <c r="D47" s="17" t="s">
        <v>68</v>
      </c>
      <c r="E47" s="12" t="s">
        <v>6</v>
      </c>
      <c r="F47" s="20" t="s">
        <v>69</v>
      </c>
      <c r="G47" s="12" t="s">
        <v>6</v>
      </c>
      <c r="H47" s="6"/>
      <c r="I47" s="1"/>
      <c r="J47" s="1"/>
      <c r="K47" s="2"/>
      <c r="L47" s="2"/>
      <c r="M47" s="2"/>
      <c r="N47" s="2"/>
      <c r="O47" s="2"/>
      <c r="P47" s="2"/>
      <c r="Q47" s="2"/>
      <c r="R47" s="2"/>
      <c r="S47" s="2"/>
      <c r="T47" s="9"/>
      <c r="U47" s="9"/>
      <c r="V47" s="9"/>
      <c r="W47" s="9"/>
      <c r="X47" s="9"/>
      <c r="Y47" s="7"/>
      <c r="Z47" s="7"/>
      <c r="AA47" s="7"/>
      <c r="AB47" s="7"/>
      <c r="AC47" s="7"/>
      <c r="AD47" s="7"/>
      <c r="AE47" s="7"/>
      <c r="AF47" s="7"/>
      <c r="AG47" s="7"/>
    </row>
    <row r="48" spans="1:33" ht="38.5" customHeight="1" outlineLevel="1" x14ac:dyDescent="0.55000000000000004">
      <c r="A48" s="3"/>
      <c r="B48" s="2"/>
      <c r="C48" s="2"/>
      <c r="D48" s="2"/>
      <c r="E48" s="2"/>
      <c r="F48" s="2"/>
      <c r="G48" s="2"/>
      <c r="I48" s="2"/>
      <c r="J48" s="1"/>
      <c r="K48" s="2"/>
      <c r="L48" s="2"/>
      <c r="M48" s="2"/>
      <c r="N48" s="2"/>
      <c r="O48" s="2"/>
      <c r="P48" s="2"/>
      <c r="Q48" s="2"/>
      <c r="R48" s="2"/>
      <c r="S48" s="2"/>
      <c r="T48" s="1"/>
      <c r="U48" s="1"/>
      <c r="V48" s="14"/>
      <c r="W48" s="14"/>
      <c r="X48" s="14"/>
      <c r="Y48" s="3"/>
      <c r="Z48" s="3"/>
      <c r="AA48" s="3"/>
      <c r="AB48" s="3"/>
      <c r="AC48" s="3"/>
      <c r="AD48" s="3"/>
      <c r="AE48" s="3"/>
      <c r="AF48" s="3"/>
      <c r="AG48" s="3"/>
    </row>
    <row r="49" spans="1:33" s="10" customFormat="1" ht="31.4" customHeight="1" x14ac:dyDescent="0.55000000000000004">
      <c r="A49" s="7"/>
      <c r="B49" s="246" t="s">
        <v>70</v>
      </c>
      <c r="C49" s="246"/>
      <c r="D49" s="246"/>
      <c r="E49" s="246"/>
      <c r="F49" s="246"/>
      <c r="G49" s="246"/>
      <c r="H49" s="8"/>
      <c r="I49" s="4"/>
      <c r="J49" s="4"/>
      <c r="K49" s="2"/>
      <c r="L49" s="2"/>
      <c r="M49" s="2"/>
      <c r="N49" s="2"/>
      <c r="O49" s="2"/>
      <c r="P49" s="2"/>
      <c r="Q49" s="2"/>
      <c r="R49" s="2"/>
      <c r="S49" s="2"/>
      <c r="T49" s="9"/>
      <c r="U49" s="9"/>
      <c r="V49" s="9"/>
      <c r="W49" s="9"/>
      <c r="X49" s="9"/>
      <c r="Y49" s="7"/>
      <c r="Z49" s="7"/>
      <c r="AA49" s="7"/>
      <c r="AB49" s="7"/>
      <c r="AC49" s="7"/>
      <c r="AD49" s="7"/>
      <c r="AE49" s="7"/>
      <c r="AF49" s="7"/>
      <c r="AG49" s="7"/>
    </row>
    <row r="50" spans="1:33" s="10" customFormat="1" ht="31.4" customHeight="1" outlineLevel="1" x14ac:dyDescent="0.55000000000000004">
      <c r="A50" s="7"/>
      <c r="B50" s="247" t="s">
        <v>2</v>
      </c>
      <c r="C50" s="247"/>
      <c r="D50" s="247" t="s">
        <v>3</v>
      </c>
      <c r="E50" s="247"/>
      <c r="F50" s="247" t="s">
        <v>4</v>
      </c>
      <c r="G50" s="247"/>
      <c r="H50" s="4"/>
      <c r="I50" s="4"/>
      <c r="J50" s="4"/>
      <c r="K50" s="2"/>
      <c r="L50" s="2"/>
      <c r="M50" s="2"/>
      <c r="N50" s="2"/>
      <c r="O50" s="2"/>
      <c r="P50" s="2"/>
      <c r="Q50" s="2"/>
      <c r="R50" s="2"/>
      <c r="S50" s="2"/>
      <c r="T50" s="9"/>
      <c r="U50" s="9"/>
      <c r="V50" s="9"/>
      <c r="W50" s="9"/>
      <c r="X50" s="26"/>
      <c r="Y50" s="7"/>
      <c r="Z50" s="7"/>
      <c r="AA50" s="7"/>
      <c r="AB50" s="7"/>
      <c r="AC50" s="7"/>
      <c r="AD50" s="7"/>
      <c r="AE50" s="7"/>
      <c r="AF50" s="7"/>
      <c r="AG50" s="7"/>
    </row>
    <row r="51" spans="1:33" s="10" customFormat="1" ht="84" customHeight="1" outlineLevel="1" x14ac:dyDescent="0.55000000000000004">
      <c r="A51" s="7"/>
      <c r="B51" s="17" t="s">
        <v>71</v>
      </c>
      <c r="C51" s="12" t="s">
        <v>6</v>
      </c>
      <c r="D51" s="20" t="s">
        <v>72</v>
      </c>
      <c r="E51" s="12" t="s">
        <v>6</v>
      </c>
      <c r="F51" s="20" t="s">
        <v>73</v>
      </c>
      <c r="G51" s="12" t="s">
        <v>6</v>
      </c>
      <c r="H51" s="6"/>
      <c r="I51" s="1"/>
      <c r="J51" s="1"/>
      <c r="K51" s="2"/>
      <c r="L51" s="2"/>
      <c r="M51" s="2"/>
      <c r="N51" s="2"/>
      <c r="O51" s="2"/>
      <c r="P51" s="2"/>
      <c r="Q51" s="2"/>
      <c r="R51" s="2"/>
      <c r="S51" s="2"/>
      <c r="T51" s="9"/>
      <c r="U51" s="9"/>
      <c r="V51" s="9"/>
      <c r="W51" s="9"/>
      <c r="X51" s="9"/>
      <c r="Y51" s="7"/>
      <c r="Z51" s="7"/>
      <c r="AA51" s="7"/>
      <c r="AB51" s="7"/>
      <c r="AC51" s="7"/>
      <c r="AD51" s="7"/>
      <c r="AE51" s="7"/>
      <c r="AF51" s="7"/>
      <c r="AG51" s="7"/>
    </row>
    <row r="52" spans="1:33" s="10" customFormat="1" ht="84" customHeight="1" outlineLevel="1" x14ac:dyDescent="0.55000000000000004">
      <c r="A52" s="7"/>
      <c r="B52" s="17" t="s">
        <v>74</v>
      </c>
      <c r="C52" s="12" t="s">
        <v>6</v>
      </c>
      <c r="D52" s="27" t="s">
        <v>75</v>
      </c>
      <c r="E52" s="12" t="s">
        <v>6</v>
      </c>
      <c r="F52" s="20" t="s">
        <v>76</v>
      </c>
      <c r="G52" s="12" t="s">
        <v>6</v>
      </c>
      <c r="H52" s="6"/>
      <c r="I52" s="1"/>
      <c r="J52" s="1"/>
      <c r="K52" s="2"/>
      <c r="L52" s="2"/>
      <c r="M52" s="2"/>
      <c r="N52" s="2"/>
      <c r="O52" s="2"/>
      <c r="P52" s="2"/>
      <c r="Q52" s="2"/>
      <c r="R52" s="2"/>
      <c r="S52" s="2"/>
      <c r="T52" s="9"/>
      <c r="U52" s="9"/>
      <c r="V52" s="9"/>
      <c r="W52" s="9"/>
      <c r="X52" s="9"/>
      <c r="Y52" s="7"/>
      <c r="Z52" s="7"/>
      <c r="AA52" s="7"/>
      <c r="AB52" s="7"/>
      <c r="AC52" s="7"/>
      <c r="AD52" s="7"/>
      <c r="AE52" s="7"/>
      <c r="AF52" s="7"/>
      <c r="AG52" s="7"/>
    </row>
    <row r="53" spans="1:33" s="10" customFormat="1" ht="158.5" customHeight="1" outlineLevel="1" x14ac:dyDescent="0.55000000000000004">
      <c r="A53" s="7"/>
      <c r="B53" s="28" t="s">
        <v>77</v>
      </c>
      <c r="C53" s="12" t="s">
        <v>6</v>
      </c>
      <c r="D53" s="20" t="s">
        <v>78</v>
      </c>
      <c r="E53" s="12" t="s">
        <v>6</v>
      </c>
      <c r="F53" s="20" t="s">
        <v>79</v>
      </c>
      <c r="G53" s="12" t="s">
        <v>6</v>
      </c>
      <c r="H53" s="6"/>
      <c r="I53" s="1"/>
      <c r="J53" s="1"/>
      <c r="K53" s="2"/>
      <c r="L53" s="2"/>
      <c r="M53" s="2"/>
      <c r="N53" s="2"/>
      <c r="O53" s="2"/>
      <c r="P53" s="2"/>
      <c r="Q53" s="2"/>
      <c r="R53" s="2"/>
      <c r="S53" s="2"/>
      <c r="T53" s="9"/>
      <c r="U53" s="9"/>
      <c r="V53" s="9"/>
      <c r="W53" s="9"/>
      <c r="X53" s="9"/>
      <c r="Y53" s="7"/>
      <c r="Z53" s="7"/>
      <c r="AA53" s="7"/>
      <c r="AB53" s="7"/>
      <c r="AC53" s="7"/>
      <c r="AD53" s="7"/>
      <c r="AE53" s="7"/>
      <c r="AF53" s="7"/>
      <c r="AG53" s="7"/>
    </row>
    <row r="54" spans="1:33" s="10" customFormat="1" ht="84" customHeight="1" outlineLevel="1" x14ac:dyDescent="0.55000000000000004">
      <c r="A54" s="7"/>
      <c r="B54" s="29"/>
      <c r="C54" s="30"/>
      <c r="D54" s="31" t="s">
        <v>80</v>
      </c>
      <c r="E54" s="12" t="s">
        <v>6</v>
      </c>
      <c r="F54" s="20" t="s">
        <v>81</v>
      </c>
      <c r="G54" s="12" t="s">
        <v>6</v>
      </c>
      <c r="H54" s="6"/>
      <c r="I54" s="1"/>
      <c r="J54" s="1"/>
      <c r="K54" s="2"/>
      <c r="L54" s="2"/>
      <c r="M54" s="2"/>
      <c r="N54" s="2"/>
      <c r="O54" s="2"/>
      <c r="P54" s="2"/>
      <c r="Q54" s="2"/>
      <c r="R54" s="2"/>
      <c r="S54" s="2"/>
      <c r="T54" s="9"/>
      <c r="U54" s="9"/>
      <c r="V54" s="9"/>
      <c r="W54" s="9"/>
      <c r="X54" s="9"/>
      <c r="Y54" s="7"/>
      <c r="Z54" s="7"/>
      <c r="AA54" s="7"/>
      <c r="AB54" s="7"/>
      <c r="AC54" s="7"/>
      <c r="AD54" s="7"/>
      <c r="AE54" s="7"/>
      <c r="AF54" s="7"/>
      <c r="AG54" s="7"/>
    </row>
    <row r="55" spans="1:33" s="10" customFormat="1" ht="84" customHeight="1" outlineLevel="1" x14ac:dyDescent="0.55000000000000004">
      <c r="A55" s="7"/>
      <c r="B55" s="32"/>
      <c r="C55" s="33"/>
      <c r="D55" s="31" t="s">
        <v>82</v>
      </c>
      <c r="E55" s="12" t="s">
        <v>6</v>
      </c>
      <c r="F55" s="20" t="s">
        <v>83</v>
      </c>
      <c r="G55" s="12" t="s">
        <v>6</v>
      </c>
      <c r="H55" s="6"/>
      <c r="I55" s="1"/>
      <c r="J55" s="1"/>
      <c r="K55" s="2"/>
      <c r="L55" s="2"/>
      <c r="M55" s="2"/>
      <c r="N55" s="2"/>
      <c r="O55" s="2"/>
      <c r="P55" s="2"/>
      <c r="Q55" s="2"/>
      <c r="R55" s="2"/>
      <c r="S55" s="2"/>
      <c r="T55" s="9"/>
      <c r="U55" s="9"/>
      <c r="V55" s="9"/>
      <c r="W55" s="9"/>
      <c r="X55" s="9"/>
      <c r="Y55" s="7"/>
      <c r="Z55" s="7"/>
      <c r="AA55" s="7"/>
      <c r="AB55" s="7"/>
      <c r="AC55" s="7"/>
      <c r="AD55" s="7"/>
      <c r="AE55" s="7"/>
      <c r="AF55" s="7"/>
      <c r="AG55" s="7"/>
    </row>
    <row r="56" spans="1:33" outlineLevel="1" x14ac:dyDescent="0.55000000000000004">
      <c r="A56" s="3"/>
      <c r="B56" s="6"/>
      <c r="C56" s="6"/>
      <c r="D56" s="6"/>
      <c r="E56" s="6"/>
      <c r="F56" s="6"/>
      <c r="G56" s="2"/>
      <c r="I56" s="1"/>
      <c r="J56" s="1"/>
      <c r="K56" s="2"/>
      <c r="L56" s="2"/>
      <c r="M56" s="2"/>
      <c r="N56" s="2"/>
      <c r="O56" s="2"/>
      <c r="P56" s="2"/>
      <c r="Q56" s="2"/>
      <c r="R56" s="2"/>
      <c r="S56" s="2"/>
      <c r="T56" s="14"/>
      <c r="U56" s="14"/>
      <c r="V56" s="14"/>
      <c r="W56" s="14"/>
      <c r="X56" s="14"/>
      <c r="Y56" s="3"/>
      <c r="Z56" s="3"/>
      <c r="AA56" s="3"/>
      <c r="AB56" s="3"/>
      <c r="AC56" s="3"/>
      <c r="AD56" s="3"/>
      <c r="AE56" s="3"/>
      <c r="AF56" s="3"/>
      <c r="AG56" s="3"/>
    </row>
    <row r="57" spans="1:33" x14ac:dyDescent="0.55000000000000004">
      <c r="A57" s="3"/>
      <c r="B57" s="2"/>
      <c r="C57" s="2"/>
      <c r="D57" s="2"/>
      <c r="E57" s="2"/>
      <c r="F57" s="2"/>
      <c r="G57" s="2"/>
      <c r="I57" s="1"/>
      <c r="J57" s="1"/>
      <c r="K57" s="2"/>
      <c r="L57" s="2"/>
      <c r="M57" s="2"/>
      <c r="N57" s="2"/>
      <c r="O57" s="2"/>
      <c r="P57" s="2"/>
      <c r="Q57" s="2"/>
      <c r="R57" s="2"/>
      <c r="S57" s="2"/>
      <c r="T57" s="14"/>
      <c r="U57" s="14"/>
      <c r="V57" s="14"/>
      <c r="W57" s="14"/>
      <c r="X57" s="14"/>
      <c r="Y57" s="3"/>
      <c r="Z57" s="3"/>
      <c r="AA57" s="3"/>
      <c r="AB57" s="3"/>
      <c r="AC57" s="3"/>
      <c r="AD57" s="3"/>
      <c r="AE57" s="3"/>
      <c r="AF57" s="3"/>
      <c r="AG57" s="3"/>
    </row>
    <row r="58" spans="1:33" x14ac:dyDescent="0.55000000000000004">
      <c r="A58" s="3"/>
      <c r="B58" s="2"/>
      <c r="C58" s="2"/>
      <c r="D58" s="2"/>
      <c r="E58" s="2"/>
      <c r="F58" s="2"/>
      <c r="G58" s="2"/>
      <c r="I58" s="1"/>
      <c r="J58" s="1"/>
      <c r="K58" s="2"/>
      <c r="L58" s="2"/>
      <c r="M58" s="2"/>
      <c r="N58" s="2"/>
      <c r="O58" s="2"/>
      <c r="P58" s="2"/>
      <c r="Q58" s="2"/>
      <c r="R58" s="2"/>
      <c r="S58" s="2"/>
      <c r="T58" s="14"/>
      <c r="U58" s="14"/>
      <c r="V58" s="14"/>
      <c r="W58" s="14"/>
      <c r="X58" s="14"/>
      <c r="Y58" s="3"/>
      <c r="Z58" s="3"/>
      <c r="AA58" s="3"/>
      <c r="AB58" s="3"/>
      <c r="AC58" s="3"/>
      <c r="AD58" s="3"/>
      <c r="AE58" s="3"/>
      <c r="AF58" s="3"/>
      <c r="AG58" s="3"/>
    </row>
    <row r="59" spans="1:33" x14ac:dyDescent="0.55000000000000004">
      <c r="A59" s="3"/>
      <c r="B59" s="2"/>
      <c r="C59" s="2"/>
      <c r="D59" s="2"/>
      <c r="E59" s="2"/>
      <c r="F59" s="2"/>
      <c r="G59" s="2"/>
      <c r="I59" s="1"/>
      <c r="J59" s="1"/>
      <c r="K59" s="2"/>
      <c r="L59" s="2"/>
      <c r="M59" s="2"/>
      <c r="N59" s="2"/>
      <c r="O59" s="2"/>
      <c r="P59" s="2"/>
      <c r="Q59" s="2"/>
      <c r="R59" s="2"/>
      <c r="S59" s="2"/>
      <c r="T59" s="14"/>
      <c r="U59" s="14"/>
      <c r="V59" s="14"/>
      <c r="W59" s="14"/>
      <c r="X59" s="14"/>
      <c r="Y59" s="3"/>
      <c r="Z59" s="3"/>
      <c r="AA59" s="3"/>
      <c r="AB59" s="3"/>
      <c r="AC59" s="3"/>
      <c r="AD59" s="3"/>
      <c r="AE59" s="3"/>
      <c r="AF59" s="3"/>
      <c r="AG59" s="3"/>
    </row>
    <row r="60" spans="1:33" x14ac:dyDescent="0.55000000000000004">
      <c r="A60" s="3"/>
      <c r="B60" s="2"/>
      <c r="C60" s="2"/>
      <c r="D60" s="2"/>
      <c r="E60" s="2"/>
      <c r="F60" s="2"/>
      <c r="G60" s="2"/>
      <c r="I60" s="1"/>
      <c r="J60" s="1"/>
      <c r="K60" s="2"/>
      <c r="L60" s="2"/>
      <c r="M60" s="2"/>
      <c r="N60" s="2"/>
      <c r="O60" s="2"/>
      <c r="P60" s="2"/>
      <c r="Q60" s="2"/>
      <c r="R60" s="2"/>
      <c r="S60" s="2"/>
      <c r="T60" s="14"/>
      <c r="U60" s="14"/>
      <c r="V60" s="14"/>
      <c r="W60" s="14"/>
      <c r="X60" s="14"/>
      <c r="Y60" s="3"/>
      <c r="Z60" s="3"/>
      <c r="AA60" s="3"/>
      <c r="AB60" s="3"/>
      <c r="AC60" s="3"/>
      <c r="AD60" s="3"/>
      <c r="AE60" s="3"/>
      <c r="AF60" s="3"/>
      <c r="AG60" s="3"/>
    </row>
    <row r="61" spans="1:33" ht="18" customHeight="1" x14ac:dyDescent="0.55000000000000004">
      <c r="A61" s="3"/>
      <c r="B61" s="2"/>
      <c r="C61" s="2"/>
      <c r="D61" s="2"/>
      <c r="E61" s="2"/>
      <c r="F61" s="2"/>
      <c r="G61" s="2"/>
      <c r="I61" s="1"/>
      <c r="J61" s="1"/>
      <c r="K61" s="2"/>
      <c r="L61" s="2"/>
      <c r="M61" s="2"/>
      <c r="N61" s="2"/>
      <c r="O61" s="2"/>
      <c r="P61" s="2"/>
      <c r="Q61" s="2"/>
      <c r="R61" s="2"/>
      <c r="S61" s="2"/>
      <c r="T61" s="14"/>
      <c r="U61" s="14"/>
      <c r="V61" s="14"/>
      <c r="W61" s="14"/>
      <c r="X61" s="14"/>
      <c r="Y61" s="3"/>
      <c r="Z61" s="3"/>
      <c r="AA61" s="3"/>
      <c r="AB61" s="3"/>
      <c r="AC61" s="3"/>
      <c r="AD61" s="3"/>
      <c r="AE61" s="3"/>
      <c r="AF61" s="3"/>
      <c r="AG61" s="3"/>
    </row>
    <row r="62" spans="1:33" x14ac:dyDescent="0.55000000000000004">
      <c r="A62" s="3"/>
      <c r="B62" s="2"/>
      <c r="C62" s="2"/>
      <c r="D62" s="2"/>
      <c r="E62" s="2"/>
      <c r="F62" s="2"/>
      <c r="G62" s="2"/>
      <c r="I62" s="1"/>
      <c r="J62" s="1"/>
      <c r="K62" s="2"/>
      <c r="L62" s="2"/>
      <c r="M62" s="2"/>
      <c r="N62" s="2"/>
      <c r="O62" s="2"/>
      <c r="P62" s="2"/>
      <c r="Q62" s="2"/>
      <c r="R62" s="2"/>
      <c r="S62" s="2"/>
      <c r="T62" s="14"/>
      <c r="U62" s="14"/>
      <c r="V62" s="14"/>
      <c r="W62" s="14"/>
      <c r="X62" s="14"/>
      <c r="Y62" s="3"/>
      <c r="Z62" s="3"/>
      <c r="AA62" s="3"/>
      <c r="AB62" s="3"/>
      <c r="AC62" s="3"/>
      <c r="AD62" s="3"/>
      <c r="AE62" s="3"/>
      <c r="AF62" s="3"/>
      <c r="AG62" s="3"/>
    </row>
    <row r="63" spans="1:33" x14ac:dyDescent="0.55000000000000004">
      <c r="A63" s="3"/>
      <c r="B63" s="2"/>
      <c r="C63" s="2"/>
      <c r="D63" s="2"/>
      <c r="E63" s="2"/>
      <c r="F63" s="2"/>
      <c r="G63" s="2"/>
      <c r="I63" s="1"/>
      <c r="J63" s="1"/>
      <c r="K63" s="2"/>
      <c r="L63" s="2"/>
      <c r="M63" s="2"/>
      <c r="N63" s="2"/>
      <c r="O63" s="2"/>
      <c r="P63" s="2"/>
      <c r="Q63" s="2"/>
      <c r="R63" s="2"/>
      <c r="S63" s="2"/>
      <c r="T63" s="14"/>
      <c r="U63" s="14"/>
      <c r="V63" s="14"/>
      <c r="W63" s="14"/>
      <c r="X63" s="14"/>
      <c r="Y63" s="3"/>
      <c r="Z63" s="3"/>
      <c r="AA63" s="3"/>
      <c r="AB63" s="3"/>
      <c r="AC63" s="3"/>
      <c r="AD63" s="3"/>
      <c r="AE63" s="3"/>
      <c r="AF63" s="3"/>
      <c r="AG63" s="3"/>
    </row>
    <row r="64" spans="1:33" x14ac:dyDescent="0.55000000000000004">
      <c r="A64" s="3"/>
      <c r="B64" s="2"/>
      <c r="C64" s="2"/>
      <c r="D64" s="2"/>
      <c r="E64" s="2"/>
      <c r="F64" s="2"/>
      <c r="G64" s="2"/>
      <c r="I64" s="1"/>
      <c r="J64" s="1"/>
      <c r="K64" s="2"/>
      <c r="L64" s="2"/>
      <c r="M64" s="2"/>
      <c r="N64" s="2"/>
      <c r="O64" s="2"/>
      <c r="P64" s="2"/>
      <c r="Q64" s="2"/>
      <c r="R64" s="2"/>
      <c r="S64" s="2"/>
      <c r="T64" s="14"/>
      <c r="U64" s="14"/>
      <c r="V64" s="14"/>
      <c r="W64" s="14"/>
      <c r="X64" s="14"/>
      <c r="Y64" s="3"/>
      <c r="Z64" s="3"/>
      <c r="AA64" s="3"/>
      <c r="AB64" s="3"/>
      <c r="AC64" s="3"/>
      <c r="AD64" s="3"/>
      <c r="AE64" s="3"/>
      <c r="AF64" s="3"/>
      <c r="AG64" s="3"/>
    </row>
    <row r="65" spans="1:33" x14ac:dyDescent="0.55000000000000004">
      <c r="A65" s="3"/>
      <c r="B65" s="2"/>
      <c r="C65" s="2"/>
      <c r="D65" s="2"/>
      <c r="E65" s="2"/>
      <c r="F65" s="2"/>
      <c r="G65" s="2"/>
      <c r="I65" s="1"/>
      <c r="J65" s="1"/>
      <c r="K65" s="2"/>
      <c r="L65" s="2"/>
      <c r="M65" s="2"/>
      <c r="N65" s="2"/>
      <c r="O65" s="2"/>
      <c r="P65" s="2"/>
      <c r="Q65" s="2"/>
      <c r="R65" s="2"/>
      <c r="S65" s="2"/>
      <c r="T65" s="14"/>
      <c r="U65" s="14"/>
      <c r="V65" s="14"/>
      <c r="W65" s="14"/>
      <c r="X65" s="14"/>
      <c r="Y65" s="3"/>
      <c r="Z65" s="3"/>
      <c r="AA65" s="3"/>
      <c r="AB65" s="3"/>
      <c r="AC65" s="3"/>
      <c r="AD65" s="3"/>
      <c r="AE65" s="3"/>
      <c r="AF65" s="3"/>
      <c r="AG65" s="3"/>
    </row>
    <row r="66" spans="1:33" x14ac:dyDescent="0.55000000000000004">
      <c r="A66" s="3"/>
      <c r="B66" s="2"/>
      <c r="C66" s="2"/>
      <c r="D66" s="2"/>
      <c r="E66" s="2"/>
      <c r="F66" s="2"/>
      <c r="G66" s="2"/>
      <c r="I66" s="1"/>
      <c r="J66" s="1"/>
      <c r="K66" s="2"/>
      <c r="L66" s="2"/>
      <c r="M66" s="2"/>
      <c r="N66" s="2"/>
      <c r="O66" s="2"/>
      <c r="P66" s="2"/>
      <c r="Q66" s="2"/>
      <c r="R66" s="2"/>
      <c r="S66" s="2"/>
      <c r="T66" s="14"/>
      <c r="U66" s="14"/>
      <c r="V66" s="14"/>
      <c r="W66" s="14"/>
      <c r="X66" s="14"/>
      <c r="Y66" s="3"/>
      <c r="Z66" s="3"/>
      <c r="AA66" s="3"/>
      <c r="AB66" s="3"/>
      <c r="AC66" s="3"/>
      <c r="AD66" s="3"/>
      <c r="AE66" s="3"/>
      <c r="AF66" s="3"/>
      <c r="AG66" s="3"/>
    </row>
    <row r="67" spans="1:33" x14ac:dyDescent="0.55000000000000004">
      <c r="A67" s="3"/>
      <c r="B67" s="2"/>
      <c r="C67" s="2"/>
      <c r="D67" s="2"/>
      <c r="E67" s="2"/>
      <c r="F67" s="2"/>
      <c r="G67" s="2"/>
      <c r="I67" s="1"/>
      <c r="J67" s="1"/>
      <c r="K67" s="2"/>
      <c r="L67" s="2"/>
      <c r="M67" s="2"/>
      <c r="N67" s="2"/>
      <c r="O67" s="2"/>
      <c r="P67" s="2"/>
      <c r="Q67" s="2"/>
      <c r="R67" s="2"/>
      <c r="S67" s="2"/>
      <c r="T67" s="14"/>
      <c r="U67" s="14"/>
      <c r="V67" s="14"/>
      <c r="W67" s="14"/>
      <c r="X67" s="14"/>
      <c r="Y67" s="3"/>
      <c r="Z67" s="3"/>
      <c r="AA67" s="3"/>
      <c r="AB67" s="3"/>
      <c r="AC67" s="3"/>
      <c r="AD67" s="3"/>
      <c r="AE67" s="3"/>
      <c r="AF67" s="3"/>
      <c r="AG67" s="3"/>
    </row>
    <row r="68" spans="1:33" x14ac:dyDescent="0.55000000000000004">
      <c r="A68" s="3"/>
      <c r="B68" s="2"/>
      <c r="C68" s="2"/>
      <c r="D68" s="2"/>
      <c r="E68" s="2"/>
      <c r="F68" s="2"/>
      <c r="G68" s="2"/>
      <c r="I68" s="1"/>
      <c r="J68" s="1"/>
      <c r="K68" s="2"/>
      <c r="L68" s="2"/>
      <c r="M68" s="2"/>
      <c r="N68" s="2"/>
      <c r="O68" s="2"/>
      <c r="P68" s="2"/>
      <c r="Q68" s="2"/>
      <c r="R68" s="2"/>
      <c r="S68" s="2"/>
      <c r="T68" s="14"/>
      <c r="U68" s="14"/>
      <c r="V68" s="14"/>
      <c r="W68" s="14"/>
      <c r="X68" s="14"/>
      <c r="Y68" s="3"/>
      <c r="Z68" s="3"/>
      <c r="AA68" s="3"/>
      <c r="AB68" s="3"/>
      <c r="AC68" s="3"/>
      <c r="AD68" s="3"/>
      <c r="AE68" s="3"/>
      <c r="AF68" s="3"/>
      <c r="AG68" s="3"/>
    </row>
    <row r="69" spans="1:33" x14ac:dyDescent="0.55000000000000004">
      <c r="A69" s="3"/>
      <c r="B69" s="3"/>
      <c r="C69" s="2"/>
      <c r="D69" s="3"/>
      <c r="E69" s="2"/>
      <c r="F69" s="3"/>
      <c r="G69" s="2"/>
      <c r="I69" s="1"/>
      <c r="J69" s="1"/>
      <c r="K69" s="2"/>
      <c r="L69" s="2"/>
      <c r="M69" s="2"/>
      <c r="N69" s="2"/>
      <c r="O69" s="2"/>
      <c r="P69" s="2"/>
      <c r="Q69" s="2"/>
      <c r="R69" s="2"/>
      <c r="S69" s="2"/>
      <c r="T69" s="14"/>
      <c r="U69" s="14"/>
      <c r="V69" s="14"/>
      <c r="W69" s="14"/>
      <c r="X69" s="14"/>
      <c r="Y69" s="3"/>
      <c r="Z69" s="3"/>
      <c r="AA69" s="3"/>
      <c r="AB69" s="3"/>
      <c r="AC69" s="3"/>
      <c r="AD69" s="3"/>
      <c r="AE69" s="3"/>
      <c r="AF69" s="3"/>
      <c r="AG69" s="3"/>
    </row>
    <row r="70" spans="1:33" x14ac:dyDescent="0.55000000000000004">
      <c r="A70" s="3"/>
      <c r="B70" s="3"/>
      <c r="C70" s="2"/>
      <c r="D70" s="3"/>
      <c r="E70" s="2"/>
      <c r="F70" s="3"/>
      <c r="G70" s="2"/>
      <c r="I70" s="1"/>
      <c r="J70" s="1"/>
      <c r="K70" s="2"/>
      <c r="L70" s="2"/>
      <c r="M70" s="2"/>
      <c r="N70" s="2"/>
      <c r="O70" s="2"/>
      <c r="P70" s="2"/>
      <c r="Q70" s="2"/>
      <c r="R70" s="2"/>
      <c r="S70" s="2"/>
      <c r="T70" s="14"/>
      <c r="U70" s="14"/>
      <c r="V70" s="14"/>
      <c r="W70" s="14"/>
      <c r="X70" s="14"/>
      <c r="Y70" s="3"/>
      <c r="Z70" s="3"/>
      <c r="AA70" s="3"/>
      <c r="AB70" s="3"/>
      <c r="AC70" s="3"/>
      <c r="AD70" s="3"/>
      <c r="AE70" s="3"/>
      <c r="AF70" s="3"/>
      <c r="AG70" s="3"/>
    </row>
    <row r="71" spans="1:33" x14ac:dyDescent="0.55000000000000004">
      <c r="A71" s="3"/>
      <c r="B71" s="3"/>
      <c r="C71" s="2"/>
      <c r="D71" s="3"/>
      <c r="E71" s="2"/>
      <c r="F71" s="3"/>
      <c r="G71" s="2"/>
      <c r="I71" s="1"/>
      <c r="J71" s="1"/>
      <c r="K71" s="2"/>
      <c r="L71" s="2"/>
      <c r="M71" s="2"/>
      <c r="N71" s="2"/>
      <c r="O71" s="2"/>
      <c r="P71" s="2"/>
      <c r="Q71" s="2"/>
      <c r="R71" s="2"/>
      <c r="S71" s="2"/>
      <c r="T71" s="14"/>
      <c r="U71" s="14"/>
      <c r="V71" s="14"/>
      <c r="W71" s="14"/>
      <c r="X71" s="14"/>
      <c r="Y71" s="3"/>
      <c r="Z71" s="3"/>
      <c r="AA71" s="3"/>
      <c r="AB71" s="3"/>
      <c r="AC71" s="3"/>
      <c r="AD71" s="3"/>
      <c r="AE71" s="3"/>
      <c r="AF71" s="3"/>
      <c r="AG71" s="3"/>
    </row>
    <row r="72" spans="1:33" x14ac:dyDescent="0.55000000000000004">
      <c r="A72" s="3"/>
      <c r="B72" s="3"/>
      <c r="C72" s="2"/>
      <c r="D72" s="3"/>
      <c r="E72" s="2"/>
      <c r="F72" s="3"/>
      <c r="G72" s="2"/>
      <c r="I72" s="1"/>
      <c r="J72" s="1"/>
      <c r="K72" s="2"/>
      <c r="L72" s="2"/>
      <c r="M72" s="2"/>
      <c r="N72" s="2"/>
      <c r="O72" s="2"/>
      <c r="P72" s="2"/>
      <c r="Q72" s="2"/>
      <c r="R72" s="2"/>
      <c r="S72" s="2"/>
      <c r="T72" s="14"/>
      <c r="U72" s="14"/>
      <c r="V72" s="14"/>
      <c r="W72" s="14"/>
      <c r="X72" s="14"/>
      <c r="Y72" s="3"/>
      <c r="Z72" s="3"/>
      <c r="AA72" s="3"/>
      <c r="AB72" s="3"/>
      <c r="AC72" s="3"/>
      <c r="AD72" s="3"/>
      <c r="AE72" s="3"/>
      <c r="AF72" s="3"/>
      <c r="AG72" s="3"/>
    </row>
    <row r="73" spans="1:33" x14ac:dyDescent="0.55000000000000004">
      <c r="A73" s="3"/>
      <c r="B73" s="3"/>
      <c r="C73" s="2"/>
      <c r="D73" s="3"/>
      <c r="E73" s="2"/>
      <c r="F73" s="3"/>
      <c r="G73" s="2"/>
      <c r="I73" s="1"/>
      <c r="J73" s="1"/>
      <c r="K73" s="2"/>
      <c r="L73" s="2"/>
      <c r="M73" s="2"/>
      <c r="N73" s="2"/>
      <c r="O73" s="2"/>
      <c r="P73" s="2"/>
      <c r="Q73" s="2"/>
      <c r="R73" s="2"/>
      <c r="S73" s="2"/>
      <c r="T73" s="14"/>
      <c r="U73" s="14"/>
      <c r="V73" s="14"/>
      <c r="W73" s="14"/>
      <c r="X73" s="14"/>
      <c r="Y73" s="3"/>
      <c r="Z73" s="3"/>
      <c r="AA73" s="3"/>
      <c r="AB73" s="3"/>
      <c r="AC73" s="3"/>
      <c r="AD73" s="3"/>
      <c r="AE73" s="3"/>
      <c r="AF73" s="3"/>
      <c r="AG73" s="3"/>
    </row>
    <row r="74" spans="1:33" x14ac:dyDescent="0.55000000000000004">
      <c r="A74" s="3"/>
      <c r="B74" s="3"/>
      <c r="C74" s="2"/>
      <c r="D74" s="3"/>
      <c r="E74" s="2"/>
      <c r="F74" s="3"/>
      <c r="G74" s="2"/>
      <c r="I74" s="1"/>
      <c r="J74" s="1"/>
      <c r="K74" s="2"/>
      <c r="L74" s="2"/>
      <c r="M74" s="2"/>
      <c r="N74" s="2"/>
      <c r="O74" s="2"/>
      <c r="P74" s="2"/>
      <c r="Q74" s="2"/>
      <c r="R74" s="2"/>
      <c r="S74" s="2"/>
      <c r="T74" s="14"/>
      <c r="U74" s="14"/>
      <c r="V74" s="14"/>
      <c r="W74" s="14"/>
      <c r="X74" s="14"/>
      <c r="Y74" s="3"/>
      <c r="Z74" s="3"/>
      <c r="AA74" s="3"/>
      <c r="AB74" s="3"/>
      <c r="AC74" s="3"/>
      <c r="AD74" s="3"/>
      <c r="AE74" s="3"/>
      <c r="AF74" s="3"/>
      <c r="AG74" s="3"/>
    </row>
    <row r="75" spans="1:33" x14ac:dyDescent="0.55000000000000004">
      <c r="A75" s="3"/>
      <c r="B75" s="3"/>
      <c r="C75" s="2"/>
      <c r="D75" s="3"/>
      <c r="E75" s="2"/>
      <c r="F75" s="3"/>
      <c r="G75" s="2"/>
      <c r="I75" s="1"/>
      <c r="J75" s="1"/>
      <c r="K75" s="2"/>
      <c r="L75" s="2"/>
      <c r="M75" s="2"/>
      <c r="N75" s="2"/>
      <c r="O75" s="2"/>
      <c r="P75" s="2"/>
      <c r="Q75" s="2"/>
      <c r="R75" s="2"/>
      <c r="S75" s="2"/>
      <c r="T75" s="14"/>
      <c r="U75" s="14"/>
      <c r="V75" s="14"/>
      <c r="W75" s="14"/>
      <c r="X75" s="14"/>
      <c r="Y75" s="3"/>
      <c r="Z75" s="3"/>
      <c r="AA75" s="3"/>
      <c r="AB75" s="3"/>
      <c r="AC75" s="3"/>
      <c r="AD75" s="3"/>
      <c r="AE75" s="3"/>
      <c r="AF75" s="3"/>
      <c r="AG75" s="3"/>
    </row>
    <row r="76" spans="1:33" x14ac:dyDescent="0.55000000000000004">
      <c r="A76" s="3"/>
      <c r="B76" s="3"/>
      <c r="C76" s="2"/>
      <c r="D76" s="3"/>
      <c r="E76" s="2"/>
      <c r="F76" s="3"/>
      <c r="G76" s="2"/>
      <c r="I76" s="1"/>
      <c r="J76" s="1"/>
      <c r="K76" s="2"/>
      <c r="L76" s="2"/>
      <c r="M76" s="2"/>
      <c r="N76" s="2"/>
      <c r="O76" s="2"/>
      <c r="P76" s="2"/>
      <c r="Q76" s="2"/>
      <c r="R76" s="2"/>
      <c r="S76" s="2"/>
      <c r="T76" s="14"/>
      <c r="U76" s="14"/>
      <c r="V76" s="14"/>
      <c r="W76" s="14"/>
      <c r="X76" s="14"/>
      <c r="Y76" s="3"/>
      <c r="Z76" s="3"/>
      <c r="AA76" s="3"/>
      <c r="AB76" s="3"/>
      <c r="AC76" s="3"/>
      <c r="AD76" s="3"/>
      <c r="AE76" s="3"/>
      <c r="AF76" s="3"/>
      <c r="AG76" s="3"/>
    </row>
    <row r="77" spans="1:33" x14ac:dyDescent="0.55000000000000004">
      <c r="A77" s="3"/>
      <c r="B77" s="3"/>
      <c r="C77" s="2"/>
      <c r="D77" s="3"/>
      <c r="E77" s="2"/>
      <c r="F77" s="3"/>
      <c r="G77" s="2"/>
      <c r="I77" s="1"/>
      <c r="J77" s="1"/>
      <c r="K77" s="2"/>
      <c r="L77" s="2"/>
      <c r="M77" s="2"/>
      <c r="N77" s="2"/>
      <c r="O77" s="2"/>
      <c r="P77" s="2"/>
      <c r="Q77" s="2"/>
      <c r="R77" s="2"/>
      <c r="S77" s="2"/>
      <c r="T77" s="14"/>
      <c r="U77" s="14"/>
      <c r="V77" s="14"/>
      <c r="W77" s="14"/>
      <c r="X77" s="14"/>
      <c r="Y77" s="3"/>
      <c r="Z77" s="3"/>
      <c r="AA77" s="3"/>
      <c r="AB77" s="3"/>
      <c r="AC77" s="3"/>
      <c r="AD77" s="3"/>
      <c r="AE77" s="3"/>
      <c r="AF77" s="3"/>
      <c r="AG77" s="3"/>
    </row>
    <row r="78" spans="1:33" x14ac:dyDescent="0.55000000000000004">
      <c r="A78" s="3"/>
      <c r="B78" s="3"/>
      <c r="C78" s="2"/>
      <c r="D78" s="3"/>
      <c r="E78" s="2"/>
      <c r="F78" s="3"/>
      <c r="G78" s="2"/>
      <c r="I78" s="1"/>
      <c r="J78" s="1"/>
      <c r="K78" s="2"/>
      <c r="L78" s="2"/>
      <c r="M78" s="2"/>
      <c r="N78" s="2"/>
      <c r="O78" s="2"/>
      <c r="P78" s="2"/>
      <c r="Q78" s="2"/>
      <c r="R78" s="2"/>
      <c r="S78" s="2"/>
      <c r="T78" s="14"/>
      <c r="U78" s="14"/>
      <c r="V78" s="14"/>
      <c r="W78" s="14"/>
      <c r="X78" s="14"/>
      <c r="Y78" s="3"/>
      <c r="Z78" s="3"/>
      <c r="AA78" s="3"/>
      <c r="AB78" s="3"/>
      <c r="AC78" s="3"/>
      <c r="AD78" s="3"/>
      <c r="AE78" s="3"/>
      <c r="AF78" s="3"/>
      <c r="AG78" s="3"/>
    </row>
    <row r="79" spans="1:33" x14ac:dyDescent="0.55000000000000004">
      <c r="A79" s="3"/>
      <c r="B79" s="3"/>
      <c r="C79" s="2"/>
      <c r="D79" s="3"/>
      <c r="E79" s="2"/>
      <c r="F79" s="3"/>
      <c r="G79" s="2"/>
      <c r="I79" s="1"/>
      <c r="J79" s="1"/>
      <c r="K79" s="2"/>
      <c r="L79" s="2"/>
      <c r="M79" s="2"/>
      <c r="N79" s="2"/>
      <c r="O79" s="2"/>
      <c r="P79" s="2"/>
      <c r="Q79" s="2"/>
      <c r="R79" s="2"/>
      <c r="S79" s="2"/>
      <c r="T79" s="14"/>
      <c r="U79" s="14"/>
      <c r="V79" s="14"/>
      <c r="W79" s="14"/>
      <c r="X79" s="14"/>
      <c r="Y79" s="3"/>
      <c r="Z79" s="3"/>
      <c r="AA79" s="3"/>
      <c r="AB79" s="3"/>
      <c r="AC79" s="3"/>
      <c r="AD79" s="3"/>
      <c r="AE79" s="3"/>
      <c r="AF79" s="3"/>
      <c r="AG79" s="3"/>
    </row>
    <row r="80" spans="1:33" x14ac:dyDescent="0.55000000000000004">
      <c r="A80" s="3"/>
      <c r="B80" s="3"/>
      <c r="C80" s="2"/>
      <c r="D80" s="3"/>
      <c r="E80" s="2"/>
      <c r="F80" s="3"/>
      <c r="G80" s="2"/>
      <c r="I80" s="1"/>
      <c r="J80" s="1"/>
      <c r="K80" s="2"/>
      <c r="L80" s="2"/>
      <c r="M80" s="2"/>
      <c r="N80" s="2"/>
      <c r="O80" s="2"/>
      <c r="P80" s="2"/>
      <c r="Q80" s="2"/>
      <c r="R80" s="2"/>
      <c r="S80" s="2"/>
      <c r="T80" s="14"/>
      <c r="U80" s="14"/>
      <c r="V80" s="14"/>
      <c r="W80" s="14"/>
      <c r="X80" s="14"/>
      <c r="Y80" s="3"/>
      <c r="Z80" s="3"/>
      <c r="AA80" s="3"/>
      <c r="AB80" s="3"/>
      <c r="AC80" s="3"/>
      <c r="AD80" s="3"/>
      <c r="AE80" s="3"/>
      <c r="AF80" s="3"/>
      <c r="AG80" s="3"/>
    </row>
    <row r="81" spans="1:33" x14ac:dyDescent="0.55000000000000004">
      <c r="A81" s="3"/>
      <c r="B81" s="3"/>
      <c r="C81" s="2"/>
      <c r="D81" s="3"/>
      <c r="E81" s="2"/>
      <c r="F81" s="3"/>
      <c r="G81" s="2"/>
      <c r="I81" s="1"/>
      <c r="J81" s="1"/>
      <c r="K81" s="2"/>
      <c r="L81" s="2"/>
      <c r="M81" s="2"/>
      <c r="N81" s="2"/>
      <c r="O81" s="2"/>
      <c r="P81" s="2"/>
      <c r="Q81" s="2"/>
      <c r="R81" s="2"/>
      <c r="S81" s="2"/>
      <c r="T81" s="14"/>
      <c r="U81" s="14"/>
      <c r="V81" s="14"/>
      <c r="W81" s="14"/>
      <c r="X81" s="14"/>
      <c r="Y81" s="3"/>
      <c r="Z81" s="3"/>
      <c r="AA81" s="3"/>
      <c r="AB81" s="3"/>
      <c r="AC81" s="3"/>
      <c r="AD81" s="3"/>
      <c r="AE81" s="3"/>
      <c r="AF81" s="3"/>
      <c r="AG81" s="3"/>
    </row>
    <row r="82" spans="1:33" x14ac:dyDescent="0.55000000000000004">
      <c r="A82" s="3"/>
      <c r="B82" s="3"/>
      <c r="C82" s="2"/>
      <c r="D82" s="3"/>
      <c r="E82" s="2"/>
      <c r="F82" s="3"/>
      <c r="G82" s="2"/>
      <c r="I82" s="1"/>
      <c r="J82" s="1"/>
      <c r="K82" s="2"/>
      <c r="L82" s="2"/>
      <c r="M82" s="2"/>
      <c r="N82" s="2"/>
      <c r="O82" s="2"/>
      <c r="P82" s="2"/>
      <c r="Q82" s="2"/>
      <c r="R82" s="2"/>
      <c r="S82" s="2"/>
      <c r="T82" s="14"/>
      <c r="U82" s="14"/>
      <c r="V82" s="14"/>
      <c r="W82" s="14"/>
      <c r="X82" s="14"/>
      <c r="Y82" s="3"/>
      <c r="Z82" s="3"/>
      <c r="AA82" s="3"/>
      <c r="AB82" s="3"/>
      <c r="AC82" s="3"/>
      <c r="AD82" s="3"/>
      <c r="AE82" s="3"/>
      <c r="AF82" s="3"/>
      <c r="AG82" s="3"/>
    </row>
    <row r="83" spans="1:33" x14ac:dyDescent="0.55000000000000004">
      <c r="A83" s="3"/>
      <c r="B83" s="3"/>
      <c r="C83" s="2"/>
      <c r="D83" s="3"/>
      <c r="E83" s="2"/>
      <c r="F83" s="3"/>
      <c r="G83" s="2"/>
      <c r="I83" s="1"/>
      <c r="J83" s="1"/>
      <c r="K83" s="2"/>
      <c r="L83" s="2"/>
      <c r="M83" s="2"/>
      <c r="N83" s="2"/>
      <c r="O83" s="2"/>
      <c r="P83" s="2"/>
      <c r="Q83" s="2"/>
      <c r="R83" s="2"/>
      <c r="S83" s="2"/>
      <c r="T83" s="14"/>
      <c r="U83" s="14"/>
      <c r="V83" s="14"/>
      <c r="W83" s="14"/>
      <c r="X83" s="14"/>
      <c r="Y83" s="3"/>
      <c r="Z83" s="3"/>
      <c r="AA83" s="3"/>
      <c r="AB83" s="3"/>
      <c r="AC83" s="3"/>
      <c r="AD83" s="3"/>
      <c r="AE83" s="3"/>
      <c r="AF83" s="3"/>
      <c r="AG83" s="3"/>
    </row>
    <row r="84" spans="1:33" x14ac:dyDescent="0.55000000000000004">
      <c r="A84" s="3"/>
      <c r="B84" s="3"/>
      <c r="C84" s="2"/>
      <c r="D84" s="3"/>
      <c r="E84" s="2"/>
      <c r="F84" s="3"/>
      <c r="G84" s="2"/>
      <c r="I84" s="1"/>
      <c r="J84" s="1"/>
      <c r="K84" s="2"/>
      <c r="L84" s="2"/>
      <c r="M84" s="2"/>
      <c r="N84" s="2"/>
      <c r="O84" s="2"/>
      <c r="P84" s="2"/>
      <c r="Q84" s="2"/>
      <c r="R84" s="2"/>
      <c r="S84" s="2"/>
      <c r="T84" s="14"/>
      <c r="U84" s="14"/>
      <c r="V84" s="14"/>
      <c r="W84" s="14"/>
      <c r="X84" s="14"/>
      <c r="Y84" s="3"/>
      <c r="Z84" s="3"/>
      <c r="AA84" s="3"/>
      <c r="AB84" s="3"/>
      <c r="AC84" s="3"/>
      <c r="AD84" s="3"/>
      <c r="AE84" s="3"/>
      <c r="AF84" s="3"/>
      <c r="AG84" s="3"/>
    </row>
    <row r="85" spans="1:33" x14ac:dyDescent="0.55000000000000004">
      <c r="A85" s="3"/>
      <c r="B85" s="3"/>
      <c r="C85" s="2"/>
      <c r="D85" s="3"/>
      <c r="E85" s="2"/>
      <c r="F85" s="3"/>
      <c r="G85" s="2"/>
      <c r="I85" s="1"/>
      <c r="J85" s="1"/>
      <c r="K85" s="2"/>
      <c r="L85" s="2"/>
      <c r="M85" s="2"/>
      <c r="N85" s="2"/>
      <c r="O85" s="2"/>
      <c r="P85" s="2"/>
      <c r="Q85" s="2"/>
      <c r="R85" s="2"/>
      <c r="S85" s="2"/>
      <c r="T85" s="14"/>
      <c r="U85" s="14"/>
      <c r="V85" s="14"/>
      <c r="W85" s="14"/>
      <c r="X85" s="14"/>
      <c r="Y85" s="3"/>
      <c r="Z85" s="3"/>
      <c r="AA85" s="3"/>
      <c r="AB85" s="3"/>
      <c r="AC85" s="3"/>
      <c r="AD85" s="3"/>
      <c r="AE85" s="3"/>
      <c r="AF85" s="3"/>
      <c r="AG85" s="3"/>
    </row>
    <row r="86" spans="1:33" x14ac:dyDescent="0.55000000000000004">
      <c r="A86" s="3"/>
      <c r="B86" s="3"/>
      <c r="C86" s="2"/>
      <c r="D86" s="3"/>
      <c r="E86" s="2"/>
      <c r="F86" s="3"/>
      <c r="G86" s="2"/>
      <c r="I86" s="1"/>
      <c r="J86" s="1"/>
      <c r="K86" s="2"/>
      <c r="L86" s="2"/>
      <c r="M86" s="2"/>
      <c r="N86" s="2"/>
      <c r="O86" s="2"/>
      <c r="P86" s="2"/>
      <c r="Q86" s="2"/>
      <c r="R86" s="2"/>
      <c r="S86" s="2"/>
      <c r="T86" s="14"/>
      <c r="U86" s="14"/>
      <c r="V86" s="14"/>
      <c r="W86" s="14"/>
      <c r="X86" s="14"/>
      <c r="Y86" s="3"/>
      <c r="Z86" s="3"/>
      <c r="AA86" s="3"/>
      <c r="AB86" s="3"/>
      <c r="AC86" s="3"/>
      <c r="AD86" s="3"/>
      <c r="AE86" s="3"/>
      <c r="AF86" s="3"/>
      <c r="AG86" s="3"/>
    </row>
    <row r="87" spans="1:33" x14ac:dyDescent="0.55000000000000004">
      <c r="A87" s="3"/>
      <c r="B87" s="3"/>
      <c r="C87" s="2"/>
      <c r="D87" s="3"/>
      <c r="E87" s="2"/>
      <c r="F87" s="3"/>
      <c r="G87" s="2"/>
      <c r="I87" s="1"/>
      <c r="J87" s="1"/>
      <c r="K87" s="2"/>
      <c r="L87" s="2"/>
      <c r="M87" s="2"/>
      <c r="N87" s="2"/>
      <c r="O87" s="2"/>
      <c r="P87" s="2"/>
      <c r="Q87" s="2"/>
      <c r="R87" s="2"/>
      <c r="S87" s="2"/>
      <c r="T87" s="14"/>
      <c r="U87" s="14"/>
      <c r="V87" s="14"/>
      <c r="W87" s="14"/>
      <c r="X87" s="14"/>
      <c r="Y87" s="3"/>
      <c r="Z87" s="3"/>
      <c r="AA87" s="3"/>
      <c r="AB87" s="3"/>
      <c r="AC87" s="3"/>
      <c r="AD87" s="3"/>
      <c r="AE87" s="3"/>
      <c r="AF87" s="3"/>
      <c r="AG87" s="3"/>
    </row>
    <row r="88" spans="1:33" x14ac:dyDescent="0.55000000000000004">
      <c r="A88" s="3"/>
      <c r="B88" s="3"/>
      <c r="C88" s="2"/>
      <c r="D88" s="3"/>
      <c r="E88" s="2"/>
      <c r="F88" s="3"/>
      <c r="G88" s="2"/>
      <c r="I88" s="1"/>
      <c r="J88" s="1"/>
      <c r="K88" s="2"/>
      <c r="L88" s="2"/>
      <c r="M88" s="2"/>
      <c r="N88" s="2"/>
      <c r="O88" s="2"/>
      <c r="P88" s="2"/>
      <c r="Q88" s="2"/>
      <c r="R88" s="2"/>
      <c r="S88" s="2"/>
      <c r="T88" s="14"/>
      <c r="U88" s="14"/>
      <c r="V88" s="14"/>
      <c r="W88" s="14"/>
      <c r="X88" s="14"/>
      <c r="Y88" s="3"/>
      <c r="Z88" s="3"/>
      <c r="AA88" s="3"/>
      <c r="AB88" s="3"/>
      <c r="AC88" s="3"/>
      <c r="AD88" s="3"/>
      <c r="AE88" s="3"/>
      <c r="AF88" s="3"/>
      <c r="AG88" s="3"/>
    </row>
    <row r="89" spans="1:33" x14ac:dyDescent="0.55000000000000004">
      <c r="A89" s="3"/>
      <c r="B89" s="3"/>
      <c r="C89" s="2"/>
      <c r="D89" s="3"/>
      <c r="E89" s="2"/>
      <c r="F89" s="3"/>
      <c r="G89" s="2"/>
      <c r="I89" s="1"/>
      <c r="J89" s="1"/>
      <c r="K89" s="2"/>
      <c r="L89" s="2"/>
      <c r="M89" s="2"/>
      <c r="N89" s="2"/>
      <c r="O89" s="2"/>
      <c r="P89" s="2"/>
      <c r="Q89" s="2"/>
      <c r="R89" s="2"/>
      <c r="S89" s="2"/>
      <c r="T89" s="14"/>
      <c r="U89" s="14"/>
      <c r="V89" s="14"/>
      <c r="W89" s="14"/>
      <c r="X89" s="14"/>
      <c r="Y89" s="3"/>
      <c r="Z89" s="3"/>
      <c r="AA89" s="3"/>
      <c r="AB89" s="3"/>
      <c r="AC89" s="3"/>
      <c r="AD89" s="3"/>
      <c r="AE89" s="3"/>
      <c r="AF89" s="3"/>
      <c r="AG89" s="3"/>
    </row>
    <row r="90" spans="1:33" x14ac:dyDescent="0.55000000000000004">
      <c r="A90" s="3"/>
      <c r="B90" s="3"/>
      <c r="C90" s="2"/>
      <c r="D90" s="3"/>
      <c r="E90" s="2"/>
      <c r="F90" s="3"/>
      <c r="G90" s="2"/>
      <c r="I90" s="1"/>
      <c r="J90" s="1"/>
      <c r="K90" s="2"/>
      <c r="L90" s="2"/>
      <c r="M90" s="2"/>
      <c r="N90" s="2"/>
      <c r="O90" s="2"/>
      <c r="P90" s="2"/>
      <c r="Q90" s="2"/>
      <c r="R90" s="2"/>
      <c r="S90" s="2"/>
      <c r="T90" s="14"/>
      <c r="U90" s="14"/>
      <c r="V90" s="14"/>
      <c r="W90" s="14"/>
      <c r="X90" s="14"/>
      <c r="Y90" s="3"/>
      <c r="Z90" s="3"/>
      <c r="AA90" s="3"/>
      <c r="AB90" s="3"/>
      <c r="AC90" s="3"/>
      <c r="AD90" s="3"/>
      <c r="AE90" s="3"/>
      <c r="AF90" s="3"/>
      <c r="AG90" s="3"/>
    </row>
    <row r="91" spans="1:33" x14ac:dyDescent="0.55000000000000004">
      <c r="A91" s="3"/>
      <c r="B91" s="3"/>
      <c r="C91" s="2"/>
      <c r="D91" s="3"/>
      <c r="E91" s="2"/>
      <c r="F91" s="3"/>
      <c r="G91" s="2"/>
      <c r="I91" s="1"/>
      <c r="J91" s="1"/>
      <c r="K91" s="2"/>
      <c r="L91" s="2"/>
      <c r="M91" s="2"/>
      <c r="N91" s="2"/>
      <c r="O91" s="2"/>
      <c r="P91" s="2"/>
      <c r="Q91" s="2"/>
      <c r="R91" s="2"/>
      <c r="S91" s="2"/>
      <c r="T91" s="14"/>
      <c r="U91" s="14"/>
      <c r="V91" s="14"/>
      <c r="W91" s="14"/>
      <c r="X91" s="14"/>
      <c r="Y91" s="3"/>
      <c r="Z91" s="3"/>
      <c r="AA91" s="3"/>
      <c r="AB91" s="3"/>
      <c r="AC91" s="3"/>
      <c r="AD91" s="3"/>
      <c r="AE91" s="3"/>
      <c r="AF91" s="3"/>
      <c r="AG91" s="3"/>
    </row>
    <row r="92" spans="1:33" x14ac:dyDescent="0.55000000000000004">
      <c r="A92" s="3"/>
      <c r="B92" s="3"/>
      <c r="C92" s="2"/>
      <c r="D92" s="3"/>
      <c r="E92" s="2"/>
      <c r="F92" s="3"/>
      <c r="G92" s="2"/>
      <c r="I92" s="6"/>
      <c r="J92" s="6"/>
      <c r="K92" s="2"/>
      <c r="L92" s="2"/>
      <c r="M92" s="2"/>
      <c r="N92" s="2"/>
      <c r="O92" s="2"/>
      <c r="P92" s="2"/>
      <c r="Q92" s="2"/>
      <c r="R92" s="2"/>
      <c r="S92" s="2"/>
      <c r="T92" s="14"/>
      <c r="U92" s="14"/>
      <c r="V92" s="14"/>
      <c r="W92" s="14"/>
      <c r="X92" s="14"/>
      <c r="Y92" s="3"/>
      <c r="Z92" s="3"/>
      <c r="AA92" s="3"/>
      <c r="AB92" s="3"/>
      <c r="AC92" s="3"/>
      <c r="AD92" s="3"/>
      <c r="AE92" s="3"/>
      <c r="AF92" s="3"/>
      <c r="AG92" s="3"/>
    </row>
    <row r="93" spans="1:33" x14ac:dyDescent="0.55000000000000004">
      <c r="A93" s="3"/>
      <c r="B93" s="3"/>
      <c r="C93" s="2"/>
      <c r="D93" s="3"/>
      <c r="E93" s="2"/>
      <c r="F93" s="3"/>
      <c r="G93" s="2"/>
      <c r="I93" s="6"/>
      <c r="J93" s="6"/>
      <c r="K93" s="2"/>
      <c r="L93" s="2"/>
      <c r="M93" s="2"/>
      <c r="N93" s="2"/>
      <c r="O93" s="2"/>
      <c r="P93" s="2"/>
      <c r="Q93" s="2"/>
      <c r="R93" s="2"/>
      <c r="S93" s="2"/>
      <c r="T93" s="14"/>
      <c r="U93" s="14"/>
      <c r="V93" s="14"/>
      <c r="W93" s="14"/>
      <c r="X93" s="14"/>
      <c r="Y93" s="3"/>
      <c r="Z93" s="3"/>
      <c r="AA93" s="3"/>
      <c r="AB93" s="3"/>
      <c r="AC93" s="3"/>
      <c r="AD93" s="3"/>
      <c r="AE93" s="3"/>
      <c r="AF93" s="3"/>
      <c r="AG93" s="3"/>
    </row>
    <row r="94" spans="1:33" x14ac:dyDescent="0.55000000000000004">
      <c r="A94" s="3"/>
      <c r="B94" s="3"/>
      <c r="C94" s="2"/>
      <c r="D94" s="3"/>
      <c r="E94" s="2"/>
      <c r="F94" s="3"/>
      <c r="G94" s="2"/>
      <c r="I94" s="6"/>
      <c r="J94" s="6"/>
      <c r="K94" s="2"/>
      <c r="L94" s="2"/>
      <c r="M94" s="2"/>
      <c r="N94" s="2"/>
      <c r="O94" s="2"/>
      <c r="P94" s="2"/>
      <c r="Q94" s="2"/>
      <c r="R94" s="2"/>
      <c r="S94" s="2"/>
      <c r="T94" s="14"/>
      <c r="U94" s="14"/>
      <c r="V94" s="14"/>
      <c r="W94" s="14"/>
      <c r="X94" s="14"/>
      <c r="Y94" s="3"/>
      <c r="Z94" s="3"/>
      <c r="AA94" s="3"/>
      <c r="AB94" s="3"/>
      <c r="AC94" s="3"/>
      <c r="AD94" s="3"/>
      <c r="AE94" s="3"/>
      <c r="AF94" s="3"/>
      <c r="AG94" s="3"/>
    </row>
    <row r="95" spans="1:33" x14ac:dyDescent="0.55000000000000004">
      <c r="A95" s="3"/>
      <c r="B95" s="3"/>
      <c r="C95" s="2"/>
      <c r="D95" s="3"/>
      <c r="E95" s="2"/>
      <c r="F95" s="3"/>
      <c r="G95" s="2"/>
      <c r="I95" s="6"/>
      <c r="J95" s="6"/>
      <c r="K95" s="2"/>
      <c r="L95" s="2"/>
      <c r="M95" s="2"/>
      <c r="N95" s="2"/>
      <c r="O95" s="2"/>
      <c r="P95" s="2"/>
      <c r="Q95" s="2"/>
      <c r="R95" s="2"/>
      <c r="S95" s="2"/>
      <c r="T95" s="14"/>
      <c r="U95" s="14"/>
      <c r="V95" s="14"/>
      <c r="W95" s="14"/>
      <c r="X95" s="14"/>
      <c r="Y95" s="3"/>
      <c r="Z95" s="3"/>
      <c r="AA95" s="3"/>
      <c r="AB95" s="3"/>
      <c r="AC95" s="3"/>
      <c r="AD95" s="3"/>
      <c r="AE95" s="3"/>
      <c r="AF95" s="3"/>
      <c r="AG95" s="3"/>
    </row>
    <row r="96" spans="1:33" x14ac:dyDescent="0.55000000000000004">
      <c r="A96" s="3"/>
      <c r="B96" s="3"/>
      <c r="C96" s="2"/>
      <c r="D96" s="3"/>
      <c r="E96" s="2"/>
      <c r="F96" s="3"/>
      <c r="G96" s="2"/>
      <c r="I96" s="6"/>
      <c r="J96" s="6"/>
      <c r="K96" s="2"/>
      <c r="L96" s="2"/>
      <c r="M96" s="2"/>
      <c r="N96" s="2"/>
      <c r="O96" s="2"/>
      <c r="P96" s="2"/>
      <c r="Q96" s="2"/>
      <c r="R96" s="2"/>
      <c r="S96" s="2"/>
      <c r="T96" s="14"/>
      <c r="U96" s="14"/>
      <c r="V96" s="14"/>
      <c r="W96" s="14"/>
      <c r="X96" s="14"/>
      <c r="Y96" s="3"/>
      <c r="Z96" s="3"/>
      <c r="AA96" s="3"/>
      <c r="AB96" s="3"/>
      <c r="AC96" s="3"/>
      <c r="AD96" s="3"/>
      <c r="AE96" s="3"/>
      <c r="AF96" s="3"/>
      <c r="AG96" s="3"/>
    </row>
    <row r="97" spans="1:33" x14ac:dyDescent="0.55000000000000004">
      <c r="A97" s="3"/>
      <c r="B97" s="3"/>
      <c r="C97" s="2"/>
      <c r="D97" s="3"/>
      <c r="E97" s="2"/>
      <c r="F97" s="3"/>
      <c r="G97" s="2"/>
      <c r="I97" s="6"/>
      <c r="J97" s="6"/>
      <c r="K97" s="2"/>
      <c r="L97" s="2"/>
      <c r="M97" s="2"/>
      <c r="N97" s="2"/>
      <c r="O97" s="2"/>
      <c r="P97" s="2"/>
      <c r="Q97" s="2"/>
      <c r="R97" s="2"/>
      <c r="S97" s="2"/>
      <c r="T97" s="14"/>
      <c r="U97" s="14"/>
      <c r="V97" s="14"/>
      <c r="W97" s="14"/>
      <c r="X97" s="14"/>
      <c r="Y97" s="3"/>
      <c r="Z97" s="3"/>
      <c r="AA97" s="3"/>
      <c r="AB97" s="3"/>
      <c r="AC97" s="3"/>
      <c r="AD97" s="3"/>
      <c r="AE97" s="3"/>
      <c r="AF97" s="3"/>
      <c r="AG97" s="3"/>
    </row>
    <row r="98" spans="1:33" x14ac:dyDescent="0.55000000000000004">
      <c r="A98" s="3"/>
      <c r="B98" s="3"/>
      <c r="C98" s="2"/>
      <c r="D98" s="3"/>
      <c r="E98" s="2"/>
      <c r="F98" s="3"/>
      <c r="G98" s="2"/>
      <c r="I98" s="6"/>
      <c r="J98" s="6"/>
      <c r="K98" s="2"/>
      <c r="L98" s="2"/>
      <c r="M98" s="2"/>
      <c r="N98" s="2"/>
      <c r="O98" s="2"/>
      <c r="P98" s="2"/>
      <c r="Q98" s="2"/>
      <c r="R98" s="2"/>
      <c r="S98" s="2"/>
      <c r="T98" s="14"/>
      <c r="U98" s="14"/>
      <c r="V98" s="14"/>
      <c r="W98" s="14"/>
      <c r="X98" s="14"/>
      <c r="Y98" s="3"/>
      <c r="Z98" s="3"/>
      <c r="AA98" s="3"/>
      <c r="AB98" s="3"/>
      <c r="AC98" s="3"/>
      <c r="AD98" s="3"/>
      <c r="AE98" s="3"/>
      <c r="AF98" s="3"/>
      <c r="AG98" s="3"/>
    </row>
    <row r="99" spans="1:33" x14ac:dyDescent="0.55000000000000004">
      <c r="A99" s="3"/>
      <c r="B99" s="3"/>
      <c r="C99" s="2"/>
      <c r="D99" s="3"/>
      <c r="E99" s="2"/>
      <c r="F99" s="3"/>
      <c r="G99" s="2"/>
      <c r="I99" s="6"/>
      <c r="J99" s="6"/>
      <c r="K99" s="2"/>
      <c r="L99" s="2"/>
      <c r="M99" s="2"/>
      <c r="N99" s="2"/>
      <c r="O99" s="2"/>
      <c r="P99" s="2"/>
      <c r="Q99" s="2"/>
      <c r="R99" s="2"/>
      <c r="S99" s="2"/>
      <c r="T99" s="14"/>
      <c r="U99" s="14"/>
      <c r="V99" s="14"/>
      <c r="W99" s="14"/>
      <c r="X99" s="14"/>
      <c r="Y99" s="3"/>
      <c r="Z99" s="3"/>
      <c r="AA99" s="3"/>
      <c r="AB99" s="3"/>
      <c r="AC99" s="3"/>
      <c r="AD99" s="3"/>
      <c r="AE99" s="3"/>
      <c r="AF99" s="3"/>
      <c r="AG99" s="3"/>
    </row>
    <row r="100" spans="1:33" x14ac:dyDescent="0.55000000000000004">
      <c r="A100" s="3"/>
      <c r="B100" s="3"/>
      <c r="C100" s="2"/>
      <c r="D100" s="3"/>
      <c r="E100" s="2"/>
      <c r="F100" s="3"/>
      <c r="G100" s="2"/>
      <c r="I100" s="6"/>
      <c r="J100" s="6"/>
      <c r="K100" s="2"/>
      <c r="L100" s="2"/>
      <c r="M100" s="2"/>
      <c r="N100" s="2"/>
      <c r="O100" s="2"/>
      <c r="P100" s="2"/>
      <c r="Q100" s="2"/>
      <c r="R100" s="2"/>
      <c r="S100" s="2"/>
      <c r="T100" s="14"/>
      <c r="U100" s="14"/>
      <c r="V100" s="14"/>
      <c r="W100" s="14"/>
      <c r="X100" s="14"/>
      <c r="Y100" s="3"/>
      <c r="Z100" s="3"/>
      <c r="AA100" s="3"/>
      <c r="AB100" s="3"/>
      <c r="AC100" s="3"/>
      <c r="AD100" s="3"/>
      <c r="AE100" s="3"/>
      <c r="AF100" s="3"/>
      <c r="AG100" s="3"/>
    </row>
    <row r="101" spans="1:33" x14ac:dyDescent="0.55000000000000004">
      <c r="A101" s="3"/>
      <c r="B101" s="3"/>
      <c r="C101" s="2"/>
      <c r="D101" s="3"/>
      <c r="E101" s="2"/>
      <c r="F101" s="3"/>
      <c r="G101" s="2"/>
      <c r="I101" s="6"/>
      <c r="J101" s="6"/>
      <c r="K101" s="2"/>
      <c r="L101" s="2"/>
      <c r="M101" s="2"/>
      <c r="N101" s="2"/>
      <c r="O101" s="2"/>
      <c r="P101" s="2"/>
      <c r="Q101" s="2"/>
      <c r="R101" s="2"/>
      <c r="S101" s="2"/>
      <c r="T101" s="14"/>
      <c r="U101" s="14"/>
      <c r="V101" s="14"/>
      <c r="W101" s="14"/>
      <c r="X101" s="14"/>
      <c r="Y101" s="3"/>
      <c r="Z101" s="3"/>
      <c r="AA101" s="3"/>
      <c r="AB101" s="3"/>
      <c r="AC101" s="3"/>
      <c r="AD101" s="3"/>
      <c r="AE101" s="3"/>
      <c r="AF101" s="3"/>
      <c r="AG101" s="3"/>
    </row>
    <row r="102" spans="1:33" x14ac:dyDescent="0.55000000000000004">
      <c r="A102" s="3"/>
      <c r="B102" s="3"/>
      <c r="C102" s="2"/>
      <c r="D102" s="3"/>
      <c r="E102" s="2"/>
      <c r="F102" s="3"/>
      <c r="G102" s="2"/>
      <c r="I102" s="6"/>
      <c r="J102" s="2"/>
      <c r="K102" s="2"/>
      <c r="L102" s="2"/>
      <c r="M102" s="2"/>
      <c r="N102" s="2"/>
      <c r="O102" s="2"/>
      <c r="P102" s="2"/>
      <c r="Q102" s="2"/>
      <c r="R102" s="2"/>
      <c r="S102" s="2"/>
      <c r="T102" s="2"/>
      <c r="U102" s="2"/>
      <c r="V102" s="14"/>
      <c r="W102" s="14"/>
      <c r="X102" s="14"/>
      <c r="Y102" s="3"/>
      <c r="Z102" s="3"/>
      <c r="AA102" s="3"/>
      <c r="AB102" s="3"/>
      <c r="AC102" s="3"/>
      <c r="AD102" s="3"/>
      <c r="AE102" s="3"/>
      <c r="AF102" s="3"/>
      <c r="AG102" s="3"/>
    </row>
  </sheetData>
  <mergeCells count="42">
    <mergeCell ref="B49:G49"/>
    <mergeCell ref="B50:C50"/>
    <mergeCell ref="D50:E50"/>
    <mergeCell ref="F50:G50"/>
    <mergeCell ref="B44:G44"/>
    <mergeCell ref="B45:C45"/>
    <mergeCell ref="D45:E45"/>
    <mergeCell ref="F45:G45"/>
    <mergeCell ref="B39:G39"/>
    <mergeCell ref="B40:C40"/>
    <mergeCell ref="D40:E40"/>
    <mergeCell ref="F40:G40"/>
    <mergeCell ref="B34:G34"/>
    <mergeCell ref="B35:C35"/>
    <mergeCell ref="D35:E35"/>
    <mergeCell ref="F35:G35"/>
    <mergeCell ref="B28:G28"/>
    <mergeCell ref="B29:C29"/>
    <mergeCell ref="D29:E29"/>
    <mergeCell ref="F29:G29"/>
    <mergeCell ref="B23:G23"/>
    <mergeCell ref="B24:C24"/>
    <mergeCell ref="D24:E24"/>
    <mergeCell ref="F24:G24"/>
    <mergeCell ref="B19:C19"/>
    <mergeCell ref="D19:E19"/>
    <mergeCell ref="F19:G19"/>
    <mergeCell ref="B13:G13"/>
    <mergeCell ref="B14:C14"/>
    <mergeCell ref="D14:E14"/>
    <mergeCell ref="F14:G14"/>
    <mergeCell ref="Z3:AC3"/>
    <mergeCell ref="B4:C4"/>
    <mergeCell ref="D4:E4"/>
    <mergeCell ref="F4:G4"/>
    <mergeCell ref="B18:G18"/>
    <mergeCell ref="B1:H2"/>
    <mergeCell ref="B3:G3"/>
    <mergeCell ref="B8:G8"/>
    <mergeCell ref="B9:C9"/>
    <mergeCell ref="D9:E9"/>
    <mergeCell ref="F9:G9"/>
  </mergeCells>
  <conditionalFormatting sqref="C4:C11 E4:E11 G4:H11 C14:C16 E14:E16 G14:H16 C18:C21 E18:E21 G18:H21 C24:C26 E24:E26 G24:H26 C29:C32 E29:E32 G29:H32 C35:C37 E35:E37 G35:H37 G39:H41 C39:C42 E39:E42 H42:H43 C45:C47 E45:E47 G45:H47 C50:C53 E50:E55 G50:H55 C69:C1048576 E69:E1048576 G69:H1048576">
    <cfRule type="cellIs" dxfId="18" priority="3" operator="equal">
      <formula>"N"</formula>
    </cfRule>
    <cfRule type="cellIs" dxfId="17" priority="4" operator="equal">
      <formula>"Y"</formula>
    </cfRule>
  </conditionalFormatting>
  <dataValidations count="1">
    <dataValidation type="list" allowBlank="1" showInputMessage="1" showErrorMessage="1" sqref="E18:E19 C7:C9 G18:H19 H30:H32 E39:E40 C39:C40 H36:H37 H46:H47 C18:C19 G7:H9 E7:E9 G39:H40 H51:H55 H26 H5:H6 H20:H21 H41:H43 H10:H11 H15:H16" xr:uid="{FD1421CF-1131-4A97-B281-061A37464052}">
      <formula1>#REF!</formula1>
    </dataValidation>
  </dataValidations>
  <pageMargins left="0.7" right="0.7" top="0.75" bottom="0.75" header="0.3" footer="0.3"/>
  <pageSetup scale="27" fitToHeight="0" orientation="landscape" r:id="rId1"/>
  <rowBreaks count="2" manualBreakCount="2">
    <brk id="27" max="10" man="1"/>
    <brk id="55" max="9" man="1"/>
  </rowBreaks>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7CAF1-7E26-47D2-ADCF-402090FF22AE}">
  <sheetPr codeName="Sheet3"/>
  <dimension ref="A1:B14"/>
  <sheetViews>
    <sheetView workbookViewId="0">
      <selection activeCell="A10" sqref="A10"/>
    </sheetView>
  </sheetViews>
  <sheetFormatPr defaultRowHeight="14.5" x14ac:dyDescent="0.35"/>
  <cols>
    <col min="1" max="1" width="68.81640625" bestFit="1" customWidth="1"/>
    <col min="2" max="2" width="50.81640625" customWidth="1"/>
  </cols>
  <sheetData>
    <row r="1" spans="1:2" ht="16" thickBot="1" x14ac:dyDescent="0.4">
      <c r="A1" s="179" t="s">
        <v>235</v>
      </c>
      <c r="B1" s="180" t="s">
        <v>190</v>
      </c>
    </row>
    <row r="2" spans="1:2" ht="47" thickBot="1" x14ac:dyDescent="0.4">
      <c r="A2" s="183" t="s">
        <v>201</v>
      </c>
      <c r="B2" s="171" t="s">
        <v>191</v>
      </c>
    </row>
    <row r="3" spans="1:2" ht="47" thickBot="1" x14ac:dyDescent="0.4">
      <c r="A3" s="184" t="s">
        <v>202</v>
      </c>
      <c r="B3" s="171" t="s">
        <v>192</v>
      </c>
    </row>
    <row r="4" spans="1:2" ht="62.5" thickBot="1" x14ac:dyDescent="0.4">
      <c r="A4" s="183" t="s">
        <v>203</v>
      </c>
      <c r="B4" s="171" t="s">
        <v>193</v>
      </c>
    </row>
    <row r="5" spans="1:2" ht="47" thickBot="1" x14ac:dyDescent="0.4">
      <c r="A5" s="183" t="s">
        <v>204</v>
      </c>
      <c r="B5" s="171" t="s">
        <v>194</v>
      </c>
    </row>
    <row r="6" spans="1:2" ht="31" x14ac:dyDescent="0.35">
      <c r="A6" s="254" t="s">
        <v>33</v>
      </c>
      <c r="B6" s="172" t="s">
        <v>195</v>
      </c>
    </row>
    <row r="7" spans="1:2" ht="15.5" x14ac:dyDescent="0.35">
      <c r="A7" s="255"/>
      <c r="B7" s="173" t="s">
        <v>207</v>
      </c>
    </row>
    <row r="8" spans="1:2" ht="15.5" x14ac:dyDescent="0.35">
      <c r="A8" s="255"/>
      <c r="B8" s="173" t="s">
        <v>208</v>
      </c>
    </row>
    <row r="9" spans="1:2" ht="16" thickBot="1" x14ac:dyDescent="0.4">
      <c r="A9" s="256"/>
      <c r="B9" s="174" t="s">
        <v>209</v>
      </c>
    </row>
    <row r="10" spans="1:2" ht="31.5" thickBot="1" x14ac:dyDescent="0.4">
      <c r="A10" s="170" t="s">
        <v>40</v>
      </c>
      <c r="B10" s="171" t="s">
        <v>196</v>
      </c>
    </row>
    <row r="11" spans="1:2" ht="47" thickBot="1" x14ac:dyDescent="0.4">
      <c r="A11" s="170" t="s">
        <v>50</v>
      </c>
      <c r="B11" s="171" t="s">
        <v>197</v>
      </c>
    </row>
    <row r="12" spans="1:2" ht="47" thickBot="1" x14ac:dyDescent="0.4">
      <c r="A12" s="183" t="s">
        <v>205</v>
      </c>
      <c r="B12" s="171" t="s">
        <v>198</v>
      </c>
    </row>
    <row r="13" spans="1:2" ht="62.5" thickBot="1" x14ac:dyDescent="0.4">
      <c r="A13" s="183" t="s">
        <v>206</v>
      </c>
      <c r="B13" s="171" t="s">
        <v>199</v>
      </c>
    </row>
    <row r="14" spans="1:2" ht="47" thickBot="1" x14ac:dyDescent="0.4">
      <c r="A14" s="183" t="s">
        <v>70</v>
      </c>
      <c r="B14" s="171" t="s">
        <v>200</v>
      </c>
    </row>
  </sheetData>
  <mergeCells count="1">
    <mergeCell ref="A6:A9"/>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A4B6EA-D9EA-4F85-9015-AF0997171134}">
  <sheetPr codeName="Sheet4"/>
  <dimension ref="A1:M31"/>
  <sheetViews>
    <sheetView topLeftCell="C1" zoomScale="55" zoomScaleNormal="55" workbookViewId="0">
      <pane ySplit="1" topLeftCell="A2" activePane="bottomLeft" state="frozen"/>
      <selection activeCell="F3" sqref="F3:F11"/>
      <selection pane="bottomLeft" activeCell="F2" sqref="F2"/>
    </sheetView>
  </sheetViews>
  <sheetFormatPr defaultRowHeight="18.5" x14ac:dyDescent="0.45"/>
  <cols>
    <col min="1" max="2" width="21.54296875" style="34" hidden="1" customWidth="1"/>
    <col min="3" max="3" width="4.26953125" style="99" bestFit="1" customWidth="1"/>
    <col min="4" max="4" width="22.7265625" style="191" customWidth="1"/>
    <col min="5" max="5" width="35.54296875" style="193" customWidth="1"/>
    <col min="6" max="6" width="82.26953125" style="100" customWidth="1"/>
    <col min="7" max="7" width="123.90625" style="88" customWidth="1"/>
    <col min="8" max="9" width="8.7265625" style="34" hidden="1" customWidth="1"/>
    <col min="10" max="12" width="29.1796875" style="34" hidden="1" customWidth="1"/>
    <col min="13" max="13" width="20" style="34" hidden="1" customWidth="1"/>
    <col min="14" max="16384" width="8.7265625" style="34"/>
  </cols>
  <sheetData>
    <row r="1" spans="1:13" ht="29" x14ac:dyDescent="0.35">
      <c r="A1" s="36" t="s">
        <v>84</v>
      </c>
      <c r="B1" s="36" t="s">
        <v>85</v>
      </c>
      <c r="C1" s="37"/>
      <c r="D1" s="38" t="s">
        <v>181</v>
      </c>
      <c r="E1" s="39" t="s">
        <v>182</v>
      </c>
      <c r="F1" s="37" t="s">
        <v>86</v>
      </c>
      <c r="G1" s="38" t="s">
        <v>236</v>
      </c>
      <c r="J1" s="40" t="s">
        <v>87</v>
      </c>
      <c r="K1" s="34" t="s">
        <v>88</v>
      </c>
      <c r="L1" s="34" t="s">
        <v>89</v>
      </c>
      <c r="M1" s="34" t="s">
        <v>90</v>
      </c>
    </row>
    <row r="2" spans="1:13" ht="107" customHeight="1" x14ac:dyDescent="0.35">
      <c r="A2" s="41" t="s">
        <v>95</v>
      </c>
      <c r="B2" s="41"/>
      <c r="C2" s="39"/>
      <c r="D2" s="198" t="s">
        <v>240</v>
      </c>
      <c r="E2" s="185" t="s">
        <v>244</v>
      </c>
      <c r="F2" s="49" t="s">
        <v>246</v>
      </c>
      <c r="G2" s="44" t="s">
        <v>282</v>
      </c>
      <c r="H2" s="41" t="s">
        <v>96</v>
      </c>
      <c r="I2" s="50">
        <v>2</v>
      </c>
      <c r="J2" s="51" t="s">
        <v>97</v>
      </c>
      <c r="K2" s="48"/>
      <c r="L2" s="48"/>
    </row>
    <row r="3" spans="1:13" ht="74" customHeight="1" x14ac:dyDescent="0.35">
      <c r="A3" s="41"/>
      <c r="B3" s="41"/>
      <c r="C3" s="39"/>
      <c r="D3" s="198" t="s">
        <v>240</v>
      </c>
      <c r="E3" s="185" t="s">
        <v>247</v>
      </c>
      <c r="F3" s="49" t="s">
        <v>248</v>
      </c>
      <c r="G3" s="44" t="s">
        <v>280</v>
      </c>
      <c r="H3" s="41"/>
      <c r="I3" s="50"/>
      <c r="J3" s="51"/>
      <c r="K3" s="48"/>
      <c r="L3" s="48"/>
    </row>
    <row r="4" spans="1:13" ht="76.5" customHeight="1" x14ac:dyDescent="0.35">
      <c r="A4" s="41"/>
      <c r="B4" s="41"/>
      <c r="C4" s="39"/>
      <c r="D4" s="198" t="s">
        <v>240</v>
      </c>
      <c r="E4" s="185" t="s">
        <v>249</v>
      </c>
      <c r="F4" s="49" t="s">
        <v>277</v>
      </c>
      <c r="G4" s="192" t="s">
        <v>281</v>
      </c>
      <c r="H4" s="41"/>
      <c r="I4" s="50"/>
      <c r="J4" s="51"/>
      <c r="K4" s="48"/>
      <c r="L4" s="48"/>
    </row>
    <row r="5" spans="1:13" ht="117.5" customHeight="1" x14ac:dyDescent="0.35">
      <c r="A5" s="41"/>
      <c r="B5" s="41"/>
      <c r="C5" s="39"/>
      <c r="D5" s="198" t="s">
        <v>240</v>
      </c>
      <c r="E5" s="185" t="s">
        <v>250</v>
      </c>
      <c r="F5" s="52" t="s">
        <v>283</v>
      </c>
      <c r="G5" s="44" t="s">
        <v>284</v>
      </c>
      <c r="H5" s="41"/>
      <c r="I5" s="54"/>
      <c r="J5" s="51"/>
      <c r="K5" s="48"/>
      <c r="L5" s="53"/>
    </row>
    <row r="6" spans="1:13" ht="178.5" customHeight="1" thickBot="1" x14ac:dyDescent="0.4">
      <c r="A6" s="41" t="s">
        <v>98</v>
      </c>
      <c r="B6" s="41"/>
      <c r="C6" s="39"/>
      <c r="D6" s="198" t="s">
        <v>240</v>
      </c>
      <c r="E6" s="185" t="s">
        <v>99</v>
      </c>
      <c r="F6" s="52" t="s">
        <v>253</v>
      </c>
      <c r="G6" s="44" t="s">
        <v>285</v>
      </c>
      <c r="H6" s="41" t="s">
        <v>99</v>
      </c>
      <c r="I6" s="54">
        <v>4</v>
      </c>
      <c r="J6" s="51" t="s">
        <v>100</v>
      </c>
      <c r="K6" s="48"/>
      <c r="L6" s="53"/>
    </row>
    <row r="7" spans="1:13" ht="153" customHeight="1" x14ac:dyDescent="0.35">
      <c r="A7" s="65"/>
      <c r="B7" s="65"/>
      <c r="C7" s="39"/>
      <c r="D7" s="198" t="s">
        <v>240</v>
      </c>
      <c r="E7" s="185" t="s">
        <v>251</v>
      </c>
      <c r="F7" s="71" t="s">
        <v>287</v>
      </c>
      <c r="G7" s="44" t="s">
        <v>286</v>
      </c>
      <c r="H7" s="45" t="s">
        <v>115</v>
      </c>
      <c r="I7" s="46">
        <v>17</v>
      </c>
      <c r="J7" s="51" t="s">
        <v>116</v>
      </c>
      <c r="K7" s="48"/>
      <c r="L7" s="48"/>
    </row>
    <row r="8" spans="1:13" ht="111" customHeight="1" thickBot="1" x14ac:dyDescent="0.4">
      <c r="A8" s="41"/>
      <c r="B8" s="41"/>
      <c r="C8" s="39"/>
      <c r="D8" s="198" t="s">
        <v>240</v>
      </c>
      <c r="E8" s="185" t="s">
        <v>252</v>
      </c>
      <c r="F8" s="58" t="s">
        <v>289</v>
      </c>
      <c r="G8" s="44" t="s">
        <v>288</v>
      </c>
      <c r="H8" s="41" t="s">
        <v>99</v>
      </c>
      <c r="I8" s="50">
        <v>7</v>
      </c>
      <c r="J8" s="56" t="s">
        <v>102</v>
      </c>
      <c r="K8" s="48"/>
      <c r="L8" s="59" t="s">
        <v>101</v>
      </c>
    </row>
    <row r="9" spans="1:13" ht="169" x14ac:dyDescent="0.35">
      <c r="A9" s="41" t="s">
        <v>91</v>
      </c>
      <c r="B9" s="41"/>
      <c r="C9" s="42"/>
      <c r="D9" s="198" t="s">
        <v>240</v>
      </c>
      <c r="E9" s="185" t="s">
        <v>257</v>
      </c>
      <c r="F9" s="43" t="s">
        <v>93</v>
      </c>
      <c r="G9" s="44" t="s">
        <v>258</v>
      </c>
      <c r="H9" s="45" t="s">
        <v>92</v>
      </c>
      <c r="I9" s="46">
        <v>1</v>
      </c>
      <c r="J9" s="47" t="s">
        <v>94</v>
      </c>
      <c r="K9" s="48"/>
      <c r="L9" s="48"/>
    </row>
    <row r="10" spans="1:13" ht="65.5" customHeight="1" x14ac:dyDescent="0.35">
      <c r="A10" s="187"/>
      <c r="B10" s="187"/>
      <c r="C10" s="181"/>
      <c r="D10" s="198" t="s">
        <v>237</v>
      </c>
      <c r="E10" s="186" t="s">
        <v>239</v>
      </c>
      <c r="F10" s="188" t="s">
        <v>340</v>
      </c>
      <c r="G10" s="44" t="s">
        <v>341</v>
      </c>
      <c r="H10" s="182"/>
      <c r="I10" s="189"/>
      <c r="J10" s="190"/>
      <c r="K10" s="48"/>
      <c r="L10" s="57"/>
    </row>
    <row r="11" spans="1:13" ht="177" customHeight="1" x14ac:dyDescent="0.35">
      <c r="A11" s="65" t="s">
        <v>103</v>
      </c>
      <c r="B11" s="65"/>
      <c r="C11" s="39"/>
      <c r="D11" s="198" t="s">
        <v>237</v>
      </c>
      <c r="E11" s="186" t="s">
        <v>279</v>
      </c>
      <c r="F11" s="69" t="s">
        <v>294</v>
      </c>
      <c r="G11" s="44" t="s">
        <v>278</v>
      </c>
      <c r="H11" s="41" t="s">
        <v>110</v>
      </c>
      <c r="I11" s="54">
        <v>15</v>
      </c>
      <c r="J11" s="51" t="s">
        <v>112</v>
      </c>
      <c r="K11" s="48"/>
      <c r="L11" s="48"/>
    </row>
    <row r="12" spans="1:13" ht="126" customHeight="1" x14ac:dyDescent="0.35">
      <c r="A12" s="65"/>
      <c r="B12" s="65"/>
      <c r="C12" s="39"/>
      <c r="D12" s="198" t="s">
        <v>237</v>
      </c>
      <c r="E12" s="186" t="s">
        <v>243</v>
      </c>
      <c r="F12" s="69" t="s">
        <v>291</v>
      </c>
      <c r="G12" s="192" t="s">
        <v>290</v>
      </c>
      <c r="H12" s="41"/>
      <c r="I12" s="54"/>
      <c r="J12" s="51"/>
      <c r="K12" s="48"/>
      <c r="L12" s="48"/>
    </row>
    <row r="13" spans="1:13" ht="155.25" customHeight="1" x14ac:dyDescent="0.35">
      <c r="A13" s="65" t="s">
        <v>107</v>
      </c>
      <c r="B13" s="65"/>
      <c r="C13" s="39"/>
      <c r="D13" s="198" t="s">
        <v>237</v>
      </c>
      <c r="E13" s="185" t="s">
        <v>241</v>
      </c>
      <c r="F13" s="66" t="s">
        <v>242</v>
      </c>
      <c r="G13" s="44" t="s">
        <v>298</v>
      </c>
      <c r="H13" s="55" t="s">
        <v>105</v>
      </c>
      <c r="K13" s="67" t="s">
        <v>108</v>
      </c>
      <c r="L13" s="50">
        <v>11</v>
      </c>
      <c r="M13" s="68" t="s">
        <v>109</v>
      </c>
    </row>
    <row r="14" spans="1:13" ht="157" customHeight="1" thickBot="1" x14ac:dyDescent="0.4">
      <c r="A14" s="65" t="s">
        <v>103</v>
      </c>
      <c r="B14" s="65"/>
      <c r="C14" s="39"/>
      <c r="D14" s="198" t="s">
        <v>237</v>
      </c>
      <c r="E14" s="186" t="s">
        <v>254</v>
      </c>
      <c r="F14" s="69" t="s">
        <v>293</v>
      </c>
      <c r="G14" s="44" t="s">
        <v>295</v>
      </c>
      <c r="H14" s="41" t="s">
        <v>113</v>
      </c>
      <c r="I14" s="70">
        <v>16</v>
      </c>
      <c r="J14" s="51" t="s">
        <v>114</v>
      </c>
      <c r="K14" s="48"/>
      <c r="L14" s="48"/>
    </row>
    <row r="15" spans="1:13" ht="325.5" thickBot="1" x14ac:dyDescent="0.4">
      <c r="A15" s="41" t="s">
        <v>95</v>
      </c>
      <c r="B15" s="41"/>
      <c r="C15" s="39"/>
      <c r="D15" s="198" t="s">
        <v>237</v>
      </c>
      <c r="E15" s="185" t="s">
        <v>255</v>
      </c>
      <c r="F15" s="58" t="s">
        <v>292</v>
      </c>
      <c r="G15" s="44" t="s">
        <v>296</v>
      </c>
      <c r="H15" s="80" t="s">
        <v>120</v>
      </c>
      <c r="I15" s="74">
        <v>25</v>
      </c>
      <c r="J15" s="56" t="s">
        <v>119</v>
      </c>
      <c r="K15" s="48"/>
      <c r="L15" s="48"/>
    </row>
    <row r="16" spans="1:13" ht="143" x14ac:dyDescent="0.35">
      <c r="A16" s="62" t="s">
        <v>103</v>
      </c>
      <c r="B16" s="62"/>
      <c r="C16" s="63"/>
      <c r="D16" s="198" t="s">
        <v>237</v>
      </c>
      <c r="E16" s="185" t="s">
        <v>259</v>
      </c>
      <c r="F16" s="64" t="s">
        <v>297</v>
      </c>
      <c r="G16" s="44" t="s">
        <v>299</v>
      </c>
      <c r="H16" s="41" t="s">
        <v>105</v>
      </c>
      <c r="I16" s="54">
        <v>10</v>
      </c>
      <c r="J16" s="51" t="s">
        <v>106</v>
      </c>
      <c r="K16" s="48"/>
      <c r="L16" s="57" t="s">
        <v>101</v>
      </c>
    </row>
    <row r="17" spans="1:12" ht="146.5" customHeight="1" thickBot="1" x14ac:dyDescent="0.4">
      <c r="A17" s="65"/>
      <c r="B17" s="65"/>
      <c r="C17" s="39"/>
      <c r="D17" s="198" t="s">
        <v>237</v>
      </c>
      <c r="E17" s="185" t="s">
        <v>260</v>
      </c>
      <c r="F17" s="69" t="s">
        <v>238</v>
      </c>
      <c r="G17" s="44" t="s">
        <v>300</v>
      </c>
      <c r="H17" s="41" t="s">
        <v>110</v>
      </c>
      <c r="I17" s="54">
        <v>14</v>
      </c>
      <c r="J17" s="56" t="s">
        <v>111</v>
      </c>
      <c r="K17" s="48"/>
      <c r="L17" s="48"/>
    </row>
    <row r="18" spans="1:12" ht="112.5" thickBot="1" x14ac:dyDescent="0.4">
      <c r="A18" s="41" t="s">
        <v>98</v>
      </c>
      <c r="B18" s="41"/>
      <c r="C18" s="63"/>
      <c r="D18" s="185" t="s">
        <v>262</v>
      </c>
      <c r="E18" s="185" t="s">
        <v>263</v>
      </c>
      <c r="F18" s="76" t="s">
        <v>261</v>
      </c>
      <c r="G18" s="77" t="s">
        <v>117</v>
      </c>
      <c r="H18" s="55" t="s">
        <v>117</v>
      </c>
      <c r="I18" s="73">
        <v>23</v>
      </c>
      <c r="J18" s="47" t="s">
        <v>118</v>
      </c>
      <c r="K18" s="48"/>
      <c r="L18" s="48"/>
    </row>
    <row r="19" spans="1:12" ht="198.75" customHeight="1" thickBot="1" x14ac:dyDescent="0.4">
      <c r="A19" s="41" t="s">
        <v>103</v>
      </c>
      <c r="B19" s="41"/>
      <c r="C19" s="63"/>
      <c r="D19" s="198" t="s">
        <v>264</v>
      </c>
      <c r="E19" s="185" t="s">
        <v>301</v>
      </c>
      <c r="F19" s="64" t="s">
        <v>265</v>
      </c>
      <c r="G19" s="44" t="s">
        <v>302</v>
      </c>
      <c r="H19" s="41" t="s">
        <v>132</v>
      </c>
      <c r="I19" s="50">
        <v>32</v>
      </c>
      <c r="J19" s="51" t="s">
        <v>133</v>
      </c>
      <c r="K19" s="48"/>
      <c r="L19" s="48"/>
    </row>
    <row r="20" spans="1:12" ht="166.5" customHeight="1" thickBot="1" x14ac:dyDescent="0.4">
      <c r="A20" s="41" t="s">
        <v>95</v>
      </c>
      <c r="B20" s="41"/>
      <c r="C20" s="39"/>
      <c r="D20" s="198" t="s">
        <v>264</v>
      </c>
      <c r="E20" s="185" t="s">
        <v>303</v>
      </c>
      <c r="F20" s="71" t="s">
        <v>267</v>
      </c>
      <c r="G20" s="44" t="s">
        <v>306</v>
      </c>
      <c r="H20" s="89" t="s">
        <v>134</v>
      </c>
      <c r="I20" s="90">
        <v>34</v>
      </c>
      <c r="J20" s="56" t="s">
        <v>135</v>
      </c>
      <c r="K20" s="48"/>
      <c r="L20" s="48"/>
    </row>
    <row r="21" spans="1:12" ht="76.5" customHeight="1" thickBot="1" x14ac:dyDescent="0.4">
      <c r="A21" s="41" t="s">
        <v>103</v>
      </c>
      <c r="B21" s="41"/>
      <c r="C21" s="60"/>
      <c r="D21" s="198" t="s">
        <v>264</v>
      </c>
      <c r="E21" s="185" t="s">
        <v>304</v>
      </c>
      <c r="F21" s="87" t="s">
        <v>266</v>
      </c>
      <c r="G21" s="44" t="s">
        <v>307</v>
      </c>
      <c r="H21" s="55" t="s">
        <v>136</v>
      </c>
      <c r="I21" s="54">
        <v>36</v>
      </c>
      <c r="J21" s="91" t="s">
        <v>137</v>
      </c>
      <c r="K21" s="92"/>
      <c r="L21" s="92"/>
    </row>
    <row r="22" spans="1:12" ht="90.75" customHeight="1" thickBot="1" x14ac:dyDescent="0.4">
      <c r="A22" s="41" t="s">
        <v>103</v>
      </c>
      <c r="B22" s="41"/>
      <c r="C22" s="60"/>
      <c r="D22" s="198" t="s">
        <v>264</v>
      </c>
      <c r="E22" s="185" t="s">
        <v>305</v>
      </c>
      <c r="F22" s="81" t="s">
        <v>256</v>
      </c>
      <c r="G22" s="44" t="s">
        <v>308</v>
      </c>
      <c r="H22" s="72" t="s">
        <v>120</v>
      </c>
      <c r="I22" s="73">
        <v>26</v>
      </c>
      <c r="J22" s="82" t="s">
        <v>121</v>
      </c>
      <c r="K22" s="48"/>
      <c r="L22" s="48"/>
    </row>
    <row r="23" spans="1:12" ht="123" customHeight="1" x14ac:dyDescent="0.35">
      <c r="A23" s="41" t="s">
        <v>95</v>
      </c>
      <c r="B23" s="41"/>
      <c r="C23" s="63"/>
      <c r="D23" s="198" t="s">
        <v>245</v>
      </c>
      <c r="E23" s="185" t="s">
        <v>270</v>
      </c>
      <c r="F23" s="83" t="s">
        <v>268</v>
      </c>
      <c r="G23" s="44" t="s">
        <v>122</v>
      </c>
      <c r="H23" s="72" t="s">
        <v>120</v>
      </c>
      <c r="I23" s="73">
        <v>27</v>
      </c>
      <c r="J23" s="47" t="s">
        <v>123</v>
      </c>
      <c r="K23" s="48"/>
      <c r="L23" s="48"/>
    </row>
    <row r="24" spans="1:12" ht="97.5" customHeight="1" thickBot="1" x14ac:dyDescent="0.4">
      <c r="A24" s="41" t="s">
        <v>98</v>
      </c>
      <c r="B24" s="41"/>
      <c r="C24" s="39"/>
      <c r="D24" s="198" t="s">
        <v>245</v>
      </c>
      <c r="E24" s="185" t="s">
        <v>269</v>
      </c>
      <c r="F24" s="58" t="s">
        <v>309</v>
      </c>
      <c r="G24" s="44" t="s">
        <v>310</v>
      </c>
      <c r="H24" s="84" t="s">
        <v>124</v>
      </c>
      <c r="I24" s="85">
        <v>29</v>
      </c>
      <c r="J24" s="51" t="s">
        <v>125</v>
      </c>
      <c r="K24" s="48"/>
      <c r="L24" s="48"/>
    </row>
    <row r="25" spans="1:12" ht="60" customHeight="1" x14ac:dyDescent="0.35">
      <c r="A25" s="41" t="s">
        <v>98</v>
      </c>
      <c r="B25" s="41"/>
      <c r="C25" s="39"/>
      <c r="D25" s="198" t="s">
        <v>245</v>
      </c>
      <c r="E25" s="185" t="s">
        <v>271</v>
      </c>
      <c r="F25" s="52" t="s">
        <v>126</v>
      </c>
      <c r="G25" s="44" t="s">
        <v>311</v>
      </c>
      <c r="H25" s="86" t="s">
        <v>127</v>
      </c>
      <c r="I25" s="61">
        <v>30</v>
      </c>
      <c r="J25" s="51" t="s">
        <v>128</v>
      </c>
      <c r="K25" s="48"/>
      <c r="L25" s="48"/>
    </row>
    <row r="26" spans="1:12" ht="179.25" customHeight="1" thickBot="1" x14ac:dyDescent="0.4">
      <c r="A26" s="41" t="s">
        <v>95</v>
      </c>
      <c r="B26" s="41"/>
      <c r="C26" s="60"/>
      <c r="D26" s="198" t="s">
        <v>245</v>
      </c>
      <c r="E26" s="185" t="s">
        <v>124</v>
      </c>
      <c r="F26" s="87" t="s">
        <v>312</v>
      </c>
      <c r="G26" s="44" t="s">
        <v>129</v>
      </c>
      <c r="H26" s="55" t="s">
        <v>130</v>
      </c>
      <c r="I26" s="50">
        <v>31</v>
      </c>
      <c r="J26" s="75" t="s">
        <v>131</v>
      </c>
      <c r="K26" s="48"/>
      <c r="L26" s="48"/>
    </row>
    <row r="27" spans="1:12" ht="166.5" customHeight="1" thickBot="1" x14ac:dyDescent="0.4">
      <c r="A27" s="41" t="s">
        <v>103</v>
      </c>
      <c r="B27" s="41"/>
      <c r="C27" s="93"/>
      <c r="D27" s="185" t="s">
        <v>272</v>
      </c>
      <c r="E27" s="185" t="s">
        <v>273</v>
      </c>
      <c r="F27" s="94" t="s">
        <v>138</v>
      </c>
      <c r="G27" s="44" t="s">
        <v>139</v>
      </c>
      <c r="H27" s="78" t="s">
        <v>136</v>
      </c>
      <c r="I27" s="79">
        <v>37</v>
      </c>
      <c r="J27" s="95" t="s">
        <v>140</v>
      </c>
      <c r="K27" s="48"/>
      <c r="L27" s="48"/>
    </row>
    <row r="28" spans="1:12" ht="166.5" customHeight="1" x14ac:dyDescent="0.35">
      <c r="A28" s="41"/>
      <c r="B28" s="41"/>
      <c r="C28" s="195"/>
      <c r="D28" s="185" t="s">
        <v>272</v>
      </c>
      <c r="E28" s="185" t="s">
        <v>274</v>
      </c>
      <c r="F28" s="196" t="s">
        <v>275</v>
      </c>
      <c r="G28" s="44"/>
      <c r="H28" s="92"/>
      <c r="I28" s="96"/>
      <c r="J28" s="197"/>
      <c r="K28" s="48"/>
      <c r="L28" s="48"/>
    </row>
    <row r="29" spans="1:12" ht="39" x14ac:dyDescent="0.35">
      <c r="A29" s="41" t="s">
        <v>103</v>
      </c>
      <c r="B29" s="41"/>
      <c r="C29" s="39"/>
      <c r="D29" s="185" t="s">
        <v>276</v>
      </c>
      <c r="E29" s="185"/>
      <c r="F29" s="58"/>
      <c r="G29" s="44"/>
      <c r="I29" s="96">
        <v>39</v>
      </c>
      <c r="J29" s="97" t="s">
        <v>141</v>
      </c>
      <c r="K29" s="98"/>
      <c r="L29" s="34" t="s">
        <v>142</v>
      </c>
    </row>
    <row r="30" spans="1:12" ht="52.5" thickBot="1" x14ac:dyDescent="0.5">
      <c r="I30" s="96">
        <v>40</v>
      </c>
      <c r="J30" s="101" t="s">
        <v>143</v>
      </c>
      <c r="K30" s="98"/>
      <c r="L30" s="98"/>
    </row>
    <row r="31" spans="1:12" ht="19" thickBot="1" x14ac:dyDescent="0.5">
      <c r="G31" s="102"/>
      <c r="J31" s="103"/>
      <c r="K31" s="48"/>
      <c r="L31" s="48"/>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5BDB1C-A897-4C15-8C97-27047D7964D6}">
  <sheetPr codeName="Sheet5"/>
  <dimension ref="A1:I39"/>
  <sheetViews>
    <sheetView showGridLines="0" tabSelected="1" topLeftCell="A12" zoomScale="115" zoomScaleNormal="115" workbookViewId="0">
      <selection activeCell="E17" sqref="E17"/>
    </sheetView>
  </sheetViews>
  <sheetFormatPr defaultRowHeight="14.5" x14ac:dyDescent="0.35"/>
  <cols>
    <col min="1" max="1" width="15.7265625" style="166" customWidth="1"/>
    <col min="2" max="2" width="15.7265625" style="159" customWidth="1"/>
    <col min="3" max="3" width="11" style="102" customWidth="1"/>
    <col min="4" max="4" width="60.7265625" style="102" customWidth="1"/>
    <col min="5" max="7" width="9.7265625" style="167" customWidth="1"/>
    <col min="8" max="8" width="13.7265625" style="167" customWidth="1"/>
    <col min="9" max="9" width="11.90625" style="167" customWidth="1"/>
    <col min="10" max="16384" width="8.7265625" style="34"/>
  </cols>
  <sheetData>
    <row r="1" spans="1:9" ht="60" customHeight="1" thickBot="1" x14ac:dyDescent="0.4">
      <c r="A1" s="263" t="s">
        <v>221</v>
      </c>
      <c r="B1" s="264"/>
      <c r="C1" s="264"/>
      <c r="D1" s="264"/>
      <c r="E1" s="264"/>
      <c r="F1" s="264"/>
      <c r="G1" s="264"/>
      <c r="H1" s="264"/>
      <c r="I1" s="265"/>
    </row>
    <row r="2" spans="1:9" s="160" customFormat="1" ht="18" customHeight="1" thickBot="1" x14ac:dyDescent="0.4">
      <c r="A2" s="177" t="s">
        <v>212</v>
      </c>
      <c r="B2" s="242" t="s">
        <v>223</v>
      </c>
      <c r="C2" s="214"/>
      <c r="D2" s="214"/>
      <c r="E2" s="215"/>
      <c r="F2" s="216"/>
      <c r="G2" s="216"/>
      <c r="H2" s="216"/>
      <c r="I2" s="176"/>
    </row>
    <row r="3" spans="1:9" ht="19.5" customHeight="1" thickTop="1" thickBot="1" x14ac:dyDescent="0.4">
      <c r="A3" s="194" t="s">
        <v>213</v>
      </c>
      <c r="B3" s="243" t="s">
        <v>231</v>
      </c>
      <c r="C3" s="217" t="s">
        <v>318</v>
      </c>
      <c r="D3" s="241"/>
      <c r="E3" s="217" t="s">
        <v>317</v>
      </c>
      <c r="F3" s="216"/>
      <c r="G3" s="216"/>
      <c r="H3" s="240"/>
      <c r="I3" s="161"/>
    </row>
    <row r="4" spans="1:9" ht="15.5" thickTop="1" thickBot="1" x14ac:dyDescent="0.4">
      <c r="A4" s="175"/>
      <c r="B4" s="162"/>
      <c r="C4" s="163"/>
      <c r="D4" s="163"/>
      <c r="E4" s="164"/>
      <c r="F4" s="164"/>
      <c r="G4" s="164"/>
      <c r="H4" s="164"/>
      <c r="I4" s="165"/>
    </row>
    <row r="5" spans="1:9" ht="26.5" thickBot="1" x14ac:dyDescent="0.4">
      <c r="A5" s="219" t="s">
        <v>181</v>
      </c>
      <c r="B5" s="141" t="s">
        <v>182</v>
      </c>
      <c r="C5" s="141"/>
      <c r="D5" s="141" t="s">
        <v>86</v>
      </c>
      <c r="E5" s="141" t="s">
        <v>174</v>
      </c>
      <c r="F5" s="212" t="s">
        <v>315</v>
      </c>
      <c r="G5" s="213" t="s">
        <v>175</v>
      </c>
      <c r="H5" s="213" t="s">
        <v>316</v>
      </c>
      <c r="I5" s="213" t="s">
        <v>188</v>
      </c>
    </row>
    <row r="6" spans="1:9" ht="52.5" thickBot="1" x14ac:dyDescent="0.4">
      <c r="A6" s="269" t="s">
        <v>240</v>
      </c>
      <c r="B6" s="220" t="s">
        <v>244</v>
      </c>
      <c r="C6" s="149">
        <v>1</v>
      </c>
      <c r="D6" s="221" t="s">
        <v>246</v>
      </c>
      <c r="E6" s="149">
        <v>3</v>
      </c>
      <c r="F6" s="272">
        <v>0.3</v>
      </c>
      <c r="G6" s="284">
        <f>((SUM(E6:E13))/(COUNTA(D6:D13)*3))</f>
        <v>1</v>
      </c>
      <c r="H6" s="257">
        <f>+(SUM(E6:E13))/((COUNTA(D6:D13)*3))*F6</f>
        <v>0.3</v>
      </c>
      <c r="I6" s="222"/>
    </row>
    <row r="7" spans="1:9" ht="52.5" thickBot="1" x14ac:dyDescent="0.4">
      <c r="A7" s="270"/>
      <c r="B7" s="143" t="s">
        <v>247</v>
      </c>
      <c r="C7" s="144">
        <v>2</v>
      </c>
      <c r="D7" s="146" t="s">
        <v>248</v>
      </c>
      <c r="E7" s="149">
        <v>3</v>
      </c>
      <c r="F7" s="273"/>
      <c r="G7" s="285"/>
      <c r="H7" s="258"/>
      <c r="I7" s="105"/>
    </row>
    <row r="8" spans="1:9" ht="52.5" thickBot="1" x14ac:dyDescent="0.4">
      <c r="A8" s="270"/>
      <c r="B8" s="143" t="s">
        <v>249</v>
      </c>
      <c r="C8" s="144">
        <v>3</v>
      </c>
      <c r="D8" s="146" t="s">
        <v>277</v>
      </c>
      <c r="E8" s="149">
        <v>3</v>
      </c>
      <c r="F8" s="273"/>
      <c r="G8" s="285"/>
      <c r="H8" s="258"/>
      <c r="I8" s="105"/>
    </row>
    <row r="9" spans="1:9" ht="91.5" thickBot="1" x14ac:dyDescent="0.4">
      <c r="A9" s="270"/>
      <c r="B9" s="143" t="s">
        <v>250</v>
      </c>
      <c r="C9" s="144">
        <v>4</v>
      </c>
      <c r="D9" s="145" t="s">
        <v>283</v>
      </c>
      <c r="E9" s="149">
        <v>3</v>
      </c>
      <c r="F9" s="273"/>
      <c r="G9" s="285"/>
      <c r="H9" s="258"/>
      <c r="I9" s="105"/>
    </row>
    <row r="10" spans="1:9" ht="143.5" thickBot="1" x14ac:dyDescent="0.4">
      <c r="A10" s="270"/>
      <c r="B10" s="143" t="s">
        <v>99</v>
      </c>
      <c r="C10" s="144">
        <v>5</v>
      </c>
      <c r="D10" s="145" t="s">
        <v>253</v>
      </c>
      <c r="E10" s="149">
        <v>3</v>
      </c>
      <c r="F10" s="273"/>
      <c r="G10" s="285"/>
      <c r="H10" s="258"/>
      <c r="I10" s="105"/>
    </row>
    <row r="11" spans="1:9" ht="117.5" thickBot="1" x14ac:dyDescent="0.4">
      <c r="A11" s="270"/>
      <c r="B11" s="143" t="s">
        <v>251</v>
      </c>
      <c r="C11" s="144">
        <v>6</v>
      </c>
      <c r="D11" s="201" t="s">
        <v>287</v>
      </c>
      <c r="E11" s="149">
        <v>3</v>
      </c>
      <c r="F11" s="273"/>
      <c r="G11" s="285"/>
      <c r="H11" s="258"/>
      <c r="I11" s="105"/>
    </row>
    <row r="12" spans="1:9" ht="52.5" thickBot="1" x14ac:dyDescent="0.4">
      <c r="A12" s="270"/>
      <c r="B12" s="143" t="s">
        <v>252</v>
      </c>
      <c r="C12" s="144">
        <v>7</v>
      </c>
      <c r="D12" s="151" t="s">
        <v>289</v>
      </c>
      <c r="E12" s="149">
        <v>3</v>
      </c>
      <c r="F12" s="273"/>
      <c r="G12" s="285"/>
      <c r="H12" s="258"/>
      <c r="I12" s="105"/>
    </row>
    <row r="13" spans="1:9" ht="65.5" thickBot="1" x14ac:dyDescent="0.4">
      <c r="A13" s="271"/>
      <c r="B13" s="148" t="s">
        <v>257</v>
      </c>
      <c r="C13" s="223">
        <v>8</v>
      </c>
      <c r="D13" s="224" t="s">
        <v>93</v>
      </c>
      <c r="E13" s="149">
        <v>3</v>
      </c>
      <c r="F13" s="274"/>
      <c r="G13" s="286"/>
      <c r="H13" s="259"/>
      <c r="I13" s="218"/>
    </row>
    <row r="14" spans="1:9" ht="130.5" thickBot="1" x14ac:dyDescent="0.4">
      <c r="A14" s="281" t="s">
        <v>104</v>
      </c>
      <c r="B14" s="199" t="s">
        <v>239</v>
      </c>
      <c r="C14" s="149">
        <v>9</v>
      </c>
      <c r="D14" s="150" t="s">
        <v>342</v>
      </c>
      <c r="E14" s="149">
        <v>1</v>
      </c>
      <c r="F14" s="275">
        <v>0.4</v>
      </c>
      <c r="G14" s="287">
        <f>((SUM(E14:E21))/(COUNTA(D14:D21)*3))</f>
        <v>0.25</v>
      </c>
      <c r="H14" s="257">
        <f>+(SUM(E14:E21))/((COUNTA(D14:D21)*3))*F14</f>
        <v>0.1</v>
      </c>
      <c r="I14" s="222"/>
    </row>
    <row r="15" spans="1:9" ht="130.5" thickBot="1" x14ac:dyDescent="0.4">
      <c r="A15" s="282"/>
      <c r="B15" s="152" t="s">
        <v>279</v>
      </c>
      <c r="C15" s="144">
        <v>10</v>
      </c>
      <c r="D15" s="202" t="s">
        <v>294</v>
      </c>
      <c r="E15" s="149">
        <v>2</v>
      </c>
      <c r="F15" s="276"/>
      <c r="G15" s="288"/>
      <c r="H15" s="258"/>
      <c r="I15" s="105"/>
    </row>
    <row r="16" spans="1:9" ht="39.5" thickBot="1" x14ac:dyDescent="0.4">
      <c r="A16" s="282"/>
      <c r="B16" s="152" t="s">
        <v>243</v>
      </c>
      <c r="C16" s="144">
        <v>11</v>
      </c>
      <c r="D16" s="202" t="s">
        <v>291</v>
      </c>
      <c r="E16" s="149">
        <v>3</v>
      </c>
      <c r="F16" s="276"/>
      <c r="G16" s="288"/>
      <c r="H16" s="258"/>
      <c r="I16" s="105"/>
    </row>
    <row r="17" spans="1:9" ht="65.5" thickBot="1" x14ac:dyDescent="0.4">
      <c r="A17" s="282"/>
      <c r="B17" s="143" t="s">
        <v>241</v>
      </c>
      <c r="C17" s="144">
        <v>12</v>
      </c>
      <c r="D17" s="145" t="s">
        <v>242</v>
      </c>
      <c r="E17" s="149">
        <v>0</v>
      </c>
      <c r="F17" s="276"/>
      <c r="G17" s="288"/>
      <c r="H17" s="258"/>
      <c r="I17" s="105"/>
    </row>
    <row r="18" spans="1:9" ht="91.5" thickBot="1" x14ac:dyDescent="0.4">
      <c r="A18" s="282"/>
      <c r="B18" s="152" t="s">
        <v>254</v>
      </c>
      <c r="C18" s="144">
        <v>13</v>
      </c>
      <c r="D18" s="145" t="s">
        <v>293</v>
      </c>
      <c r="E18" s="149">
        <v>0</v>
      </c>
      <c r="F18" s="276"/>
      <c r="G18" s="288"/>
      <c r="H18" s="258"/>
      <c r="I18" s="105"/>
    </row>
    <row r="19" spans="1:9" ht="78.5" thickBot="1" x14ac:dyDescent="0.4">
      <c r="A19" s="282"/>
      <c r="B19" s="143" t="s">
        <v>255</v>
      </c>
      <c r="C19" s="144">
        <v>14</v>
      </c>
      <c r="D19" s="202" t="s">
        <v>292</v>
      </c>
      <c r="E19" s="149">
        <v>0</v>
      </c>
      <c r="F19" s="276"/>
      <c r="G19" s="288"/>
      <c r="H19" s="258"/>
      <c r="I19" s="105"/>
    </row>
    <row r="20" spans="1:9" ht="52.5" thickBot="1" x14ac:dyDescent="0.4">
      <c r="A20" s="282"/>
      <c r="B20" s="143" t="s">
        <v>259</v>
      </c>
      <c r="C20" s="144">
        <v>15</v>
      </c>
      <c r="D20" s="202" t="s">
        <v>343</v>
      </c>
      <c r="E20" s="149">
        <v>0</v>
      </c>
      <c r="F20" s="276"/>
      <c r="G20" s="288"/>
      <c r="H20" s="258"/>
      <c r="I20" s="105"/>
    </row>
    <row r="21" spans="1:9" ht="39.5" thickBot="1" x14ac:dyDescent="0.4">
      <c r="A21" s="283"/>
      <c r="B21" s="148" t="s">
        <v>260</v>
      </c>
      <c r="C21" s="223">
        <v>16</v>
      </c>
      <c r="D21" s="225" t="s">
        <v>238</v>
      </c>
      <c r="E21" s="149">
        <v>0</v>
      </c>
      <c r="F21" s="277"/>
      <c r="G21" s="289"/>
      <c r="H21" s="259"/>
      <c r="I21" s="218"/>
    </row>
    <row r="22" spans="1:9" ht="91.5" thickBot="1" x14ac:dyDescent="0.4">
      <c r="A22" s="226" t="s">
        <v>262</v>
      </c>
      <c r="B22" s="227" t="s">
        <v>263</v>
      </c>
      <c r="C22" s="228">
        <v>17</v>
      </c>
      <c r="D22" s="229" t="s">
        <v>261</v>
      </c>
      <c r="E22" s="228">
        <v>3</v>
      </c>
      <c r="F22" s="230">
        <v>0.1</v>
      </c>
      <c r="G22" s="231">
        <f>((SUM(E22))/(COUNTA(D22)*3))</f>
        <v>1</v>
      </c>
      <c r="H22" s="232">
        <f>(SUM(E22))/((COUNTA(D22)*3))*F22</f>
        <v>0.1</v>
      </c>
      <c r="I22" s="233"/>
    </row>
    <row r="23" spans="1:9" ht="39" x14ac:dyDescent="0.35">
      <c r="A23" s="278" t="s">
        <v>264</v>
      </c>
      <c r="B23" s="199" t="s">
        <v>301</v>
      </c>
      <c r="C23" s="149">
        <v>18</v>
      </c>
      <c r="D23" s="150" t="s">
        <v>265</v>
      </c>
      <c r="E23" s="149">
        <v>3</v>
      </c>
      <c r="F23" s="260">
        <v>0.05</v>
      </c>
      <c r="G23" s="287">
        <f>((SUM(E23:E26))/(COUNTA(D23:D26)*3))</f>
        <v>1</v>
      </c>
      <c r="H23" s="266">
        <f>(SUM(E23:E26))/((COUNTA(D23:D26)*3))*F23</f>
        <v>0.05</v>
      </c>
      <c r="I23" s="222"/>
    </row>
    <row r="24" spans="1:9" ht="52.5" thickBot="1" x14ac:dyDescent="0.4">
      <c r="A24" s="279"/>
      <c r="B24" s="200" t="s">
        <v>303</v>
      </c>
      <c r="C24" s="144">
        <v>19</v>
      </c>
      <c r="D24" s="151" t="s">
        <v>267</v>
      </c>
      <c r="E24" s="144">
        <v>3</v>
      </c>
      <c r="F24" s="261"/>
      <c r="G24" s="288"/>
      <c r="H24" s="267"/>
      <c r="I24" s="105"/>
    </row>
    <row r="25" spans="1:9" ht="65" x14ac:dyDescent="0.35">
      <c r="A25" s="279"/>
      <c r="B25" s="147" t="s">
        <v>304</v>
      </c>
      <c r="C25" s="149">
        <v>20</v>
      </c>
      <c r="D25" s="151" t="s">
        <v>266</v>
      </c>
      <c r="E25" s="144">
        <v>3</v>
      </c>
      <c r="F25" s="261"/>
      <c r="G25" s="288"/>
      <c r="H25" s="267"/>
      <c r="I25" s="105"/>
    </row>
    <row r="26" spans="1:9" ht="39.5" thickBot="1" x14ac:dyDescent="0.4">
      <c r="A26" s="280"/>
      <c r="B26" s="148" t="s">
        <v>305</v>
      </c>
      <c r="C26" s="223">
        <v>21</v>
      </c>
      <c r="D26" s="203" t="s">
        <v>256</v>
      </c>
      <c r="E26" s="223">
        <v>3</v>
      </c>
      <c r="F26" s="262"/>
      <c r="G26" s="289"/>
      <c r="H26" s="268"/>
      <c r="I26" s="218"/>
    </row>
    <row r="27" spans="1:9" ht="39" x14ac:dyDescent="0.35">
      <c r="A27" s="269" t="s">
        <v>313</v>
      </c>
      <c r="B27" s="220" t="s">
        <v>270</v>
      </c>
      <c r="C27" s="149">
        <v>22</v>
      </c>
      <c r="D27" s="204" t="s">
        <v>268</v>
      </c>
      <c r="E27" s="149">
        <v>3</v>
      </c>
      <c r="F27" s="260">
        <v>0.1</v>
      </c>
      <c r="G27" s="287">
        <f>((SUM(E27:E30))/(COUNTA(D27:D30)*3))</f>
        <v>1</v>
      </c>
      <c r="H27" s="266">
        <f>(SUM(E27:E30))/((COUNTA(D27:D30)*3))*F27</f>
        <v>0.1</v>
      </c>
      <c r="I27" s="222"/>
    </row>
    <row r="28" spans="1:9" ht="78.5" thickBot="1" x14ac:dyDescent="0.4">
      <c r="A28" s="270"/>
      <c r="B28" s="147" t="s">
        <v>269</v>
      </c>
      <c r="C28" s="144">
        <v>23</v>
      </c>
      <c r="D28" s="145" t="s">
        <v>309</v>
      </c>
      <c r="E28" s="144">
        <v>3</v>
      </c>
      <c r="F28" s="261"/>
      <c r="G28" s="288"/>
      <c r="H28" s="267"/>
      <c r="I28" s="105"/>
    </row>
    <row r="29" spans="1:9" ht="39" x14ac:dyDescent="0.35">
      <c r="A29" s="270"/>
      <c r="B29" s="147" t="s">
        <v>271</v>
      </c>
      <c r="C29" s="149">
        <v>24</v>
      </c>
      <c r="D29" s="151" t="s">
        <v>126</v>
      </c>
      <c r="E29" s="144">
        <v>3</v>
      </c>
      <c r="F29" s="261"/>
      <c r="G29" s="288"/>
      <c r="H29" s="267"/>
      <c r="I29" s="105"/>
    </row>
    <row r="30" spans="1:9" ht="78.5" thickBot="1" x14ac:dyDescent="0.4">
      <c r="A30" s="271"/>
      <c r="B30" s="234" t="s">
        <v>124</v>
      </c>
      <c r="C30" s="223">
        <v>25</v>
      </c>
      <c r="D30" s="235" t="s">
        <v>312</v>
      </c>
      <c r="E30" s="223">
        <v>3</v>
      </c>
      <c r="F30" s="262"/>
      <c r="G30" s="289"/>
      <c r="H30" s="268"/>
      <c r="I30" s="218"/>
    </row>
    <row r="31" spans="1:9" ht="52" x14ac:dyDescent="0.35">
      <c r="A31" s="278" t="s">
        <v>314</v>
      </c>
      <c r="B31" s="220" t="s">
        <v>273</v>
      </c>
      <c r="C31" s="149">
        <v>26</v>
      </c>
      <c r="D31" s="150" t="s">
        <v>138</v>
      </c>
      <c r="E31" s="149">
        <v>3</v>
      </c>
      <c r="F31" s="260">
        <v>0.05</v>
      </c>
      <c r="G31" s="287">
        <f>((SUM(E31:E32))/(COUNTA(D31:D32)*3))</f>
        <v>1</v>
      </c>
      <c r="H31" s="266">
        <f>(SUM(E31:E32))/((COUNTA(D31:D32)*3))*F31</f>
        <v>0.05</v>
      </c>
      <c r="I31" s="222"/>
    </row>
    <row r="32" spans="1:9" ht="26.5" thickBot="1" x14ac:dyDescent="0.4">
      <c r="A32" s="279"/>
      <c r="B32" s="152" t="s">
        <v>274</v>
      </c>
      <c r="C32" s="236">
        <v>27</v>
      </c>
      <c r="D32" s="237" t="s">
        <v>275</v>
      </c>
      <c r="E32" s="236">
        <v>3</v>
      </c>
      <c r="F32" s="261"/>
      <c r="G32" s="288"/>
      <c r="H32" s="267"/>
      <c r="I32" s="105"/>
    </row>
    <row r="33" spans="1:9" ht="15" thickBot="1" x14ac:dyDescent="0.4">
      <c r="A33" s="153"/>
      <c r="B33" s="154"/>
      <c r="C33" s="155"/>
      <c r="D33" s="205" t="s">
        <v>176</v>
      </c>
      <c r="E33" s="206">
        <f>+SUM(E6:E32)</f>
        <v>63</v>
      </c>
      <c r="F33" s="156"/>
      <c r="G33" s="239"/>
      <c r="H33" s="239">
        <f>+SUM(H6:H32)</f>
        <v>0.70000000000000007</v>
      </c>
      <c r="I33" s="233"/>
    </row>
    <row r="34" spans="1:9" ht="26" x14ac:dyDescent="0.35">
      <c r="A34" s="142"/>
      <c r="B34" s="290" t="s">
        <v>177</v>
      </c>
      <c r="C34" s="291"/>
      <c r="D34" s="207" t="s">
        <v>178</v>
      </c>
      <c r="E34" s="209"/>
      <c r="F34" s="210"/>
      <c r="G34" s="210"/>
      <c r="H34" s="210"/>
      <c r="I34" s="238"/>
    </row>
    <row r="35" spans="1:9" ht="26.5" thickBot="1" x14ac:dyDescent="0.4">
      <c r="A35" s="142"/>
      <c r="B35" s="157"/>
      <c r="C35" s="158"/>
      <c r="D35" s="208" t="s">
        <v>179</v>
      </c>
      <c r="E35" s="209"/>
      <c r="F35" s="210"/>
      <c r="G35" s="210"/>
      <c r="H35" s="210"/>
      <c r="I35" s="211"/>
    </row>
    <row r="36" spans="1:9" x14ac:dyDescent="0.35">
      <c r="C36" s="34"/>
      <c r="D36" s="34"/>
    </row>
    <row r="37" spans="1:9" x14ac:dyDescent="0.35">
      <c r="C37" s="34"/>
      <c r="D37" s="34"/>
    </row>
    <row r="38" spans="1:9" x14ac:dyDescent="0.35">
      <c r="C38" s="34"/>
      <c r="D38" s="34"/>
    </row>
    <row r="39" spans="1:9" x14ac:dyDescent="0.35">
      <c r="C39" s="34"/>
      <c r="D39" s="34"/>
    </row>
  </sheetData>
  <mergeCells count="22">
    <mergeCell ref="B34:C34"/>
    <mergeCell ref="A31:A32"/>
    <mergeCell ref="H31:H32"/>
    <mergeCell ref="A27:A30"/>
    <mergeCell ref="H27:H30"/>
    <mergeCell ref="F31:F32"/>
    <mergeCell ref="G31:G32"/>
    <mergeCell ref="H14:H21"/>
    <mergeCell ref="F23:F26"/>
    <mergeCell ref="F27:F30"/>
    <mergeCell ref="A1:I1"/>
    <mergeCell ref="H23:H26"/>
    <mergeCell ref="H6:H13"/>
    <mergeCell ref="A6:A13"/>
    <mergeCell ref="F6:F13"/>
    <mergeCell ref="F14:F21"/>
    <mergeCell ref="A23:A26"/>
    <mergeCell ref="A14:A21"/>
    <mergeCell ref="G6:G13"/>
    <mergeCell ref="G14:G21"/>
    <mergeCell ref="G23:G26"/>
    <mergeCell ref="G27:G30"/>
  </mergeCells>
  <conditionalFormatting sqref="E6:F6 E6:E21 E14:F14 E22:F23 E24:E26 E27:F27 E28:E30 E31:F31 E32">
    <cfRule type="containsBlanks" dxfId="16" priority="1">
      <formula>LEN(TRIM(E6))=0</formula>
    </cfRule>
    <cfRule type="cellIs" dxfId="15" priority="2" operator="equal">
      <formula>3</formula>
    </cfRule>
    <cfRule type="cellIs" dxfId="14" priority="3" operator="equal">
      <formula>2</formula>
    </cfRule>
    <cfRule type="cellIs" dxfId="13" priority="4" operator="between">
      <formula>0</formula>
      <formula>1</formula>
    </cfRule>
  </conditionalFormatting>
  <dataValidations count="3">
    <dataValidation type="list" allowBlank="1" showInputMessage="1" showErrorMessage="1" sqref="B2" xr:uid="{ABEBE29C-990B-4566-A980-A968A97D19FF}">
      <formula1>Business_Unit</formula1>
    </dataValidation>
    <dataValidation type="list" allowBlank="1" showInputMessage="1" showErrorMessage="1" sqref="B3" xr:uid="{CA20305B-68CF-4ADE-AFEA-978C7ABC7BAF}">
      <formula1>INDIRECT(B2)</formula1>
    </dataValidation>
    <dataValidation type="list" allowBlank="1" showInputMessage="1" showErrorMessage="1" sqref="E6:E32" xr:uid="{E8DDF851-E3B1-430A-B3EC-CA7FAB5E6A6A}">
      <formula1>"0, 1, 2, 3"</formula1>
    </dataValidation>
  </dataValidations>
  <printOptions gridLines="1"/>
  <pageMargins left="0.2" right="0.2" top="0.25" bottom="0.25" header="0.3" footer="0.3"/>
  <pageSetup scale="85" orientation="portrait" r:id="rId1"/>
  <ignoredErrors>
    <ignoredError sqref="H7:H13 H24:H26 H28:H30 H32" formulaRange="1"/>
  </ignoredErrors>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54C38D-F79D-44EB-B7BD-2E3DAEE96278}">
  <sheetPr codeName="Sheet6"/>
  <dimension ref="A1:J18"/>
  <sheetViews>
    <sheetView topLeftCell="A3" zoomScale="70" zoomScaleNormal="70" workbookViewId="0">
      <selection activeCell="H9" sqref="H9"/>
    </sheetView>
  </sheetViews>
  <sheetFormatPr defaultRowHeight="14.5" x14ac:dyDescent="0.35"/>
  <cols>
    <col min="1" max="4" width="60.7265625" style="34" customWidth="1"/>
    <col min="5" max="9" width="8.7265625" style="34"/>
    <col min="10" max="10" width="43.1796875" style="34" customWidth="1"/>
    <col min="11" max="16384" width="8.7265625" style="34"/>
  </cols>
  <sheetData>
    <row r="1" spans="1:10" ht="15" thickBot="1" x14ac:dyDescent="0.4"/>
    <row r="2" spans="1:10" ht="37" x14ac:dyDescent="0.85">
      <c r="A2" s="292" t="s">
        <v>144</v>
      </c>
      <c r="B2" s="293"/>
      <c r="C2" s="293"/>
      <c r="D2" s="294"/>
    </row>
    <row r="3" spans="1:10" x14ac:dyDescent="0.35">
      <c r="A3" s="104"/>
      <c r="D3" s="105"/>
    </row>
    <row r="4" spans="1:10" ht="21" x14ac:dyDescent="0.35">
      <c r="A4" s="106" t="s">
        <v>145</v>
      </c>
      <c r="B4" s="107" t="s">
        <v>146</v>
      </c>
      <c r="C4" s="107" t="s">
        <v>147</v>
      </c>
      <c r="D4" s="108" t="s">
        <v>148</v>
      </c>
    </row>
    <row r="5" spans="1:10" ht="18.5" x14ac:dyDescent="0.45">
      <c r="A5" s="109">
        <v>0</v>
      </c>
      <c r="B5" s="110">
        <v>1</v>
      </c>
      <c r="C5" s="110">
        <v>2</v>
      </c>
      <c r="D5" s="111">
        <v>3</v>
      </c>
    </row>
    <row r="6" spans="1:10" ht="48" x14ac:dyDescent="0.35">
      <c r="A6" s="112"/>
      <c r="B6" s="113" t="s">
        <v>149</v>
      </c>
      <c r="C6" s="114" t="s">
        <v>150</v>
      </c>
      <c r="D6" s="115" t="s">
        <v>151</v>
      </c>
      <c r="J6" s="40"/>
    </row>
    <row r="7" spans="1:10" ht="32" x14ac:dyDescent="0.35">
      <c r="A7" s="112"/>
      <c r="B7" s="113" t="s">
        <v>152</v>
      </c>
      <c r="C7" s="114" t="s">
        <v>153</v>
      </c>
      <c r="D7" s="115" t="s">
        <v>154</v>
      </c>
      <c r="J7" s="40"/>
    </row>
    <row r="8" spans="1:10" ht="48" x14ac:dyDescent="0.35">
      <c r="A8" s="112"/>
      <c r="B8" s="113" t="s">
        <v>155</v>
      </c>
      <c r="C8" s="114" t="s">
        <v>156</v>
      </c>
      <c r="D8" s="115" t="s">
        <v>157</v>
      </c>
      <c r="J8" s="116"/>
    </row>
    <row r="9" spans="1:10" ht="80.5" thickBot="1" x14ac:dyDescent="0.4">
      <c r="A9" s="117"/>
      <c r="B9" s="118" t="s">
        <v>158</v>
      </c>
      <c r="C9" s="119" t="s">
        <v>159</v>
      </c>
      <c r="D9" s="120" t="s">
        <v>160</v>
      </c>
    </row>
    <row r="10" spans="1:10" ht="16" x14ac:dyDescent="0.35">
      <c r="A10" s="104"/>
      <c r="B10" s="295" t="s">
        <v>161</v>
      </c>
      <c r="C10" s="295"/>
      <c r="D10" s="296"/>
    </row>
    <row r="11" spans="1:10" ht="16" x14ac:dyDescent="0.4">
      <c r="A11" s="121"/>
      <c r="B11" s="122" t="s">
        <v>162</v>
      </c>
      <c r="C11" s="123"/>
      <c r="D11" s="124" t="s">
        <v>163</v>
      </c>
      <c r="J11" s="40"/>
    </row>
    <row r="12" spans="1:10" ht="16" x14ac:dyDescent="0.4">
      <c r="A12" s="121"/>
      <c r="B12" s="125" t="s">
        <v>210</v>
      </c>
      <c r="C12" s="126"/>
      <c r="D12" s="127" t="s">
        <v>164</v>
      </c>
    </row>
    <row r="13" spans="1:10" ht="16" x14ac:dyDescent="0.4">
      <c r="A13" s="121"/>
      <c r="B13" s="128" t="s">
        <v>211</v>
      </c>
      <c r="C13" s="129"/>
      <c r="D13" s="130" t="s">
        <v>165</v>
      </c>
    </row>
    <row r="14" spans="1:10" ht="16" x14ac:dyDescent="0.4">
      <c r="A14" s="121"/>
      <c r="B14" s="131" t="s">
        <v>166</v>
      </c>
      <c r="C14" s="132" t="s">
        <v>167</v>
      </c>
      <c r="D14" s="133" t="s">
        <v>168</v>
      </c>
    </row>
    <row r="15" spans="1:10" ht="16" x14ac:dyDescent="0.4">
      <c r="A15" s="121"/>
      <c r="B15" s="134" t="s">
        <v>169</v>
      </c>
      <c r="C15" s="132" t="s">
        <v>170</v>
      </c>
      <c r="D15" s="133" t="s">
        <v>171</v>
      </c>
    </row>
    <row r="16" spans="1:10" ht="16.5" thickBot="1" x14ac:dyDescent="0.45">
      <c r="A16" s="135"/>
      <c r="B16" s="136" t="s">
        <v>172</v>
      </c>
      <c r="C16" s="137" t="s">
        <v>173</v>
      </c>
      <c r="D16" s="138"/>
    </row>
    <row r="17" spans="2:3" ht="16" x14ac:dyDescent="0.4">
      <c r="B17" s="139"/>
      <c r="C17" s="140"/>
    </row>
    <row r="18" spans="2:3" x14ac:dyDescent="0.35">
      <c r="C18" s="140"/>
    </row>
  </sheetData>
  <mergeCells count="2">
    <mergeCell ref="A2:D2"/>
    <mergeCell ref="B10:D10"/>
  </mergeCells>
  <pageMargins left="0.2" right="0.2" top="0.25" bottom="0.25" header="0.3" footer="0.3"/>
  <pageSetup scale="53"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B1B471-F269-4A14-8FEA-A1996B5C9D8C}">
  <sheetPr codeName="Sheet7"/>
  <dimension ref="A1:K44"/>
  <sheetViews>
    <sheetView workbookViewId="0">
      <selection activeCell="E20" sqref="E20"/>
    </sheetView>
  </sheetViews>
  <sheetFormatPr defaultRowHeight="14.5" x14ac:dyDescent="0.35"/>
  <cols>
    <col min="1" max="1" width="9.7265625" style="167" customWidth="1"/>
    <col min="2" max="2" width="20.7265625" style="167" customWidth="1"/>
    <col min="3" max="3" width="22.54296875" style="167" bestFit="1" customWidth="1"/>
    <col min="4" max="4" width="9.7265625" style="167" customWidth="1"/>
    <col min="5" max="5" width="78.453125" style="34" bestFit="1" customWidth="1"/>
    <col min="6" max="6" width="15.453125" style="167" bestFit="1" customWidth="1"/>
    <col min="7" max="8" width="13.7265625" style="167" customWidth="1"/>
    <col min="9" max="9" width="69.453125" style="140" bestFit="1" customWidth="1"/>
    <col min="10" max="10" width="9.7265625" style="167" customWidth="1"/>
    <col min="11" max="11" width="8.7265625" style="167"/>
    <col min="12" max="16384" width="8.7265625" style="34"/>
  </cols>
  <sheetData>
    <row r="1" spans="1:11" ht="51.75" customHeight="1" x14ac:dyDescent="0.35">
      <c r="B1" s="297" t="s">
        <v>189</v>
      </c>
      <c r="C1" s="297"/>
      <c r="D1" s="297"/>
      <c r="E1" s="297"/>
      <c r="F1" s="297"/>
      <c r="G1" s="297"/>
      <c r="H1" s="297"/>
      <c r="I1" s="297"/>
    </row>
    <row r="2" spans="1:11" ht="29" x14ac:dyDescent="0.35">
      <c r="A2" s="168" t="s">
        <v>180</v>
      </c>
      <c r="B2" s="168" t="s">
        <v>181</v>
      </c>
      <c r="C2" s="168" t="s">
        <v>182</v>
      </c>
      <c r="D2" s="168" t="s">
        <v>183</v>
      </c>
      <c r="E2" s="168" t="s">
        <v>184</v>
      </c>
      <c r="F2" s="168" t="s">
        <v>185</v>
      </c>
      <c r="G2" s="168" t="s">
        <v>186</v>
      </c>
      <c r="H2" s="168" t="s">
        <v>187</v>
      </c>
      <c r="I2" s="168" t="s">
        <v>188</v>
      </c>
      <c r="J2" s="168" t="s">
        <v>183</v>
      </c>
      <c r="K2" s="167">
        <f>SUM(K3:K44)</f>
        <v>0</v>
      </c>
    </row>
    <row r="3" spans="1:11" x14ac:dyDescent="0.35">
      <c r="G3" s="169"/>
      <c r="K3" s="167">
        <f>+IF(H3="Complete",J3,IF(H3="NA",D3,0))</f>
        <v>0</v>
      </c>
    </row>
    <row r="4" spans="1:11" x14ac:dyDescent="0.35">
      <c r="G4" s="169"/>
      <c r="K4" s="167">
        <f t="shared" ref="K4:K44" si="0">+IF(H4="Complete",J4,IF(H4="NA",D4,0))</f>
        <v>0</v>
      </c>
    </row>
    <row r="5" spans="1:11" x14ac:dyDescent="0.35">
      <c r="G5" s="169"/>
      <c r="K5" s="167">
        <f t="shared" si="0"/>
        <v>0</v>
      </c>
    </row>
    <row r="6" spans="1:11" x14ac:dyDescent="0.35">
      <c r="G6" s="169"/>
      <c r="K6" s="167">
        <f t="shared" si="0"/>
        <v>0</v>
      </c>
    </row>
    <row r="7" spans="1:11" x14ac:dyDescent="0.35">
      <c r="G7" s="169"/>
      <c r="K7" s="167">
        <f t="shared" si="0"/>
        <v>0</v>
      </c>
    </row>
    <row r="8" spans="1:11" x14ac:dyDescent="0.35">
      <c r="G8" s="169"/>
      <c r="K8" s="167">
        <f t="shared" si="0"/>
        <v>0</v>
      </c>
    </row>
    <row r="9" spans="1:11" x14ac:dyDescent="0.35">
      <c r="G9" s="169"/>
      <c r="K9" s="167">
        <f t="shared" si="0"/>
        <v>0</v>
      </c>
    </row>
    <row r="10" spans="1:11" x14ac:dyDescent="0.35">
      <c r="G10" s="169"/>
      <c r="K10" s="167">
        <f t="shared" si="0"/>
        <v>0</v>
      </c>
    </row>
    <row r="11" spans="1:11" x14ac:dyDescent="0.35">
      <c r="G11" s="169"/>
      <c r="K11" s="167">
        <f t="shared" si="0"/>
        <v>0</v>
      </c>
    </row>
    <row r="12" spans="1:11" x14ac:dyDescent="0.35">
      <c r="G12" s="169"/>
      <c r="K12" s="167">
        <f t="shared" si="0"/>
        <v>0</v>
      </c>
    </row>
    <row r="13" spans="1:11" x14ac:dyDescent="0.35">
      <c r="G13" s="169"/>
      <c r="K13" s="167">
        <f t="shared" si="0"/>
        <v>0</v>
      </c>
    </row>
    <row r="14" spans="1:11" x14ac:dyDescent="0.35">
      <c r="G14" s="169"/>
      <c r="K14" s="167">
        <f t="shared" si="0"/>
        <v>0</v>
      </c>
    </row>
    <row r="15" spans="1:11" x14ac:dyDescent="0.35">
      <c r="G15" s="169"/>
      <c r="K15" s="167">
        <f t="shared" si="0"/>
        <v>0</v>
      </c>
    </row>
    <row r="16" spans="1:11" x14ac:dyDescent="0.35">
      <c r="G16" s="169"/>
      <c r="K16" s="167">
        <f t="shared" si="0"/>
        <v>0</v>
      </c>
    </row>
    <row r="17" spans="7:11" x14ac:dyDescent="0.35">
      <c r="G17" s="169"/>
      <c r="K17" s="167">
        <f t="shared" si="0"/>
        <v>0</v>
      </c>
    </row>
    <row r="18" spans="7:11" x14ac:dyDescent="0.35">
      <c r="G18" s="169"/>
      <c r="K18" s="167">
        <f t="shared" si="0"/>
        <v>0</v>
      </c>
    </row>
    <row r="19" spans="7:11" x14ac:dyDescent="0.35">
      <c r="G19" s="169"/>
      <c r="K19" s="167">
        <f t="shared" si="0"/>
        <v>0</v>
      </c>
    </row>
    <row r="20" spans="7:11" x14ac:dyDescent="0.35">
      <c r="G20" s="169"/>
      <c r="K20" s="167">
        <f t="shared" si="0"/>
        <v>0</v>
      </c>
    </row>
    <row r="21" spans="7:11" x14ac:dyDescent="0.35">
      <c r="G21" s="169"/>
      <c r="K21" s="167">
        <f t="shared" si="0"/>
        <v>0</v>
      </c>
    </row>
    <row r="22" spans="7:11" x14ac:dyDescent="0.35">
      <c r="G22" s="169"/>
      <c r="I22" s="34"/>
      <c r="K22" s="167">
        <f t="shared" si="0"/>
        <v>0</v>
      </c>
    </row>
    <row r="23" spans="7:11" x14ac:dyDescent="0.35">
      <c r="G23" s="169"/>
      <c r="I23" s="34"/>
      <c r="K23" s="167">
        <f t="shared" si="0"/>
        <v>0</v>
      </c>
    </row>
    <row r="24" spans="7:11" x14ac:dyDescent="0.35">
      <c r="G24" s="169"/>
      <c r="I24" s="34"/>
      <c r="K24" s="167">
        <f t="shared" si="0"/>
        <v>0</v>
      </c>
    </row>
    <row r="25" spans="7:11" x14ac:dyDescent="0.35">
      <c r="G25" s="169"/>
      <c r="K25" s="167">
        <f t="shared" si="0"/>
        <v>0</v>
      </c>
    </row>
    <row r="26" spans="7:11" x14ac:dyDescent="0.35">
      <c r="G26" s="169"/>
      <c r="K26" s="167">
        <f t="shared" si="0"/>
        <v>0</v>
      </c>
    </row>
    <row r="27" spans="7:11" x14ac:dyDescent="0.35">
      <c r="G27" s="169"/>
      <c r="K27" s="167">
        <f t="shared" si="0"/>
        <v>0</v>
      </c>
    </row>
    <row r="28" spans="7:11" x14ac:dyDescent="0.35">
      <c r="G28" s="169"/>
      <c r="K28" s="167">
        <f t="shared" si="0"/>
        <v>0</v>
      </c>
    </row>
    <row r="29" spans="7:11" x14ac:dyDescent="0.35">
      <c r="G29" s="169"/>
      <c r="K29" s="167">
        <f t="shared" si="0"/>
        <v>0</v>
      </c>
    </row>
    <row r="30" spans="7:11" x14ac:dyDescent="0.35">
      <c r="G30" s="169"/>
      <c r="K30" s="167">
        <f t="shared" si="0"/>
        <v>0</v>
      </c>
    </row>
    <row r="31" spans="7:11" x14ac:dyDescent="0.35">
      <c r="G31" s="169"/>
      <c r="K31" s="167">
        <f t="shared" si="0"/>
        <v>0</v>
      </c>
    </row>
    <row r="32" spans="7:11" x14ac:dyDescent="0.35">
      <c r="G32" s="169"/>
      <c r="K32" s="167">
        <f t="shared" si="0"/>
        <v>0</v>
      </c>
    </row>
    <row r="33" spans="7:11" x14ac:dyDescent="0.35">
      <c r="G33" s="169"/>
      <c r="K33" s="167">
        <f t="shared" si="0"/>
        <v>0</v>
      </c>
    </row>
    <row r="34" spans="7:11" x14ac:dyDescent="0.35">
      <c r="G34" s="169"/>
      <c r="K34" s="167">
        <f t="shared" si="0"/>
        <v>0</v>
      </c>
    </row>
    <row r="35" spans="7:11" x14ac:dyDescent="0.35">
      <c r="G35" s="169"/>
      <c r="K35" s="167">
        <f t="shared" si="0"/>
        <v>0</v>
      </c>
    </row>
    <row r="36" spans="7:11" x14ac:dyDescent="0.35">
      <c r="G36" s="169"/>
      <c r="K36" s="167">
        <f t="shared" si="0"/>
        <v>0</v>
      </c>
    </row>
    <row r="37" spans="7:11" x14ac:dyDescent="0.35">
      <c r="G37" s="169"/>
      <c r="K37" s="167">
        <f t="shared" si="0"/>
        <v>0</v>
      </c>
    </row>
    <row r="38" spans="7:11" x14ac:dyDescent="0.35">
      <c r="G38" s="169"/>
      <c r="K38" s="167">
        <f t="shared" si="0"/>
        <v>0</v>
      </c>
    </row>
    <row r="39" spans="7:11" x14ac:dyDescent="0.35">
      <c r="G39" s="169"/>
      <c r="K39" s="167">
        <f t="shared" si="0"/>
        <v>0</v>
      </c>
    </row>
    <row r="40" spans="7:11" x14ac:dyDescent="0.35">
      <c r="G40" s="169"/>
      <c r="K40" s="167">
        <f t="shared" si="0"/>
        <v>0</v>
      </c>
    </row>
    <row r="41" spans="7:11" x14ac:dyDescent="0.35">
      <c r="G41" s="169"/>
      <c r="K41" s="167">
        <f t="shared" si="0"/>
        <v>0</v>
      </c>
    </row>
    <row r="42" spans="7:11" x14ac:dyDescent="0.35">
      <c r="G42" s="169"/>
      <c r="K42" s="167">
        <f t="shared" si="0"/>
        <v>0</v>
      </c>
    </row>
    <row r="43" spans="7:11" x14ac:dyDescent="0.35">
      <c r="G43" s="169"/>
      <c r="K43" s="167">
        <f t="shared" si="0"/>
        <v>0</v>
      </c>
    </row>
    <row r="44" spans="7:11" x14ac:dyDescent="0.35">
      <c r="G44" s="169"/>
      <c r="K44" s="167">
        <f t="shared" si="0"/>
        <v>0</v>
      </c>
    </row>
  </sheetData>
  <mergeCells count="1">
    <mergeCell ref="B1:I1"/>
  </mergeCells>
  <conditionalFormatting sqref="D1:D1048576">
    <cfRule type="containsBlanks" dxfId="12" priority="4">
      <formula>LEN(TRIM(D1))=0</formula>
    </cfRule>
    <cfRule type="cellIs" dxfId="11" priority="5" operator="equal">
      <formula>3</formula>
    </cfRule>
    <cfRule type="cellIs" dxfId="10" priority="6" operator="equal">
      <formula>2</formula>
    </cfRule>
  </conditionalFormatting>
  <conditionalFormatting sqref="D3:D1048576 J3:J1048576">
    <cfRule type="cellIs" dxfId="9" priority="13" operator="between">
      <formula>0</formula>
      <formula>1</formula>
    </cfRule>
  </conditionalFormatting>
  <conditionalFormatting sqref="H3:H1048576">
    <cfRule type="containsText" dxfId="8" priority="7" operator="containsText" text="NA">
      <formula>NOT(ISERROR(SEARCH("NA",H3)))</formula>
    </cfRule>
    <cfRule type="containsBlanks" dxfId="7" priority="8">
      <formula>LEN(TRIM(H3))=0</formula>
    </cfRule>
    <cfRule type="containsText" dxfId="6" priority="9" operator="containsText" text="Cancel">
      <formula>NOT(ISERROR(SEARCH("Cancel",H3)))</formula>
    </cfRule>
    <cfRule type="containsText" dxfId="5" priority="10" operator="containsText" text="Late">
      <formula>NOT(ISERROR(SEARCH("Late",H3)))</formula>
    </cfRule>
    <cfRule type="containsText" dxfId="4" priority="11" operator="containsText" text="Complete">
      <formula>NOT(ISERROR(SEARCH("Complete",H3)))</formula>
    </cfRule>
    <cfRule type="containsText" dxfId="3" priority="12" operator="containsText" text="Process">
      <formula>NOT(ISERROR(SEARCH("Process",H3)))</formula>
    </cfRule>
  </conditionalFormatting>
  <conditionalFormatting sqref="J1:J1048576">
    <cfRule type="containsBlanks" dxfId="2" priority="1">
      <formula>LEN(TRIM(J1))=0</formula>
    </cfRule>
    <cfRule type="cellIs" dxfId="1" priority="2" operator="equal">
      <formula>3</formula>
    </cfRule>
    <cfRule type="cellIs" dxfId="0" priority="3" operator="equal">
      <formula>2</formula>
    </cfRule>
  </conditionalFormatting>
  <pageMargins left="0.7" right="0.7" top="0.75" bottom="0.75" header="0.3" footer="0.3"/>
  <pageSetup paperSize="9"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D972CA-E761-4144-B7CE-DF5D91F91FD4}">
  <dimension ref="B1:D18"/>
  <sheetViews>
    <sheetView workbookViewId="0">
      <selection activeCell="C2" sqref="C2"/>
    </sheetView>
  </sheetViews>
  <sheetFormatPr defaultRowHeight="14.5" x14ac:dyDescent="0.35"/>
  <cols>
    <col min="2" max="2" width="15.36328125" bestFit="1" customWidth="1"/>
    <col min="3" max="3" width="13.453125" customWidth="1"/>
    <col min="4" max="4" width="22.6328125" customWidth="1"/>
    <col min="6" max="6" width="15.36328125" bestFit="1" customWidth="1"/>
  </cols>
  <sheetData>
    <row r="1" spans="2:4" x14ac:dyDescent="0.35">
      <c r="B1" s="178" t="s">
        <v>323</v>
      </c>
      <c r="C1" s="178" t="s">
        <v>322</v>
      </c>
      <c r="D1" s="178" t="s">
        <v>324</v>
      </c>
    </row>
    <row r="2" spans="2:4" x14ac:dyDescent="0.35">
      <c r="B2" t="s">
        <v>321</v>
      </c>
      <c r="C2" s="178" t="s">
        <v>214</v>
      </c>
      <c r="D2" t="s">
        <v>325</v>
      </c>
    </row>
    <row r="3" spans="2:4" x14ac:dyDescent="0.35">
      <c r="B3" t="s">
        <v>224</v>
      </c>
      <c r="C3" s="178" t="s">
        <v>214</v>
      </c>
      <c r="D3" t="s">
        <v>337</v>
      </c>
    </row>
    <row r="4" spans="2:4" x14ac:dyDescent="0.35">
      <c r="B4" t="s">
        <v>232</v>
      </c>
      <c r="C4" s="178" t="s">
        <v>217</v>
      </c>
      <c r="D4" t="s">
        <v>328</v>
      </c>
    </row>
    <row r="5" spans="2:4" x14ac:dyDescent="0.35">
      <c r="B5" t="s">
        <v>218</v>
      </c>
      <c r="C5" s="178" t="s">
        <v>217</v>
      </c>
      <c r="D5" t="s">
        <v>327</v>
      </c>
    </row>
    <row r="6" spans="2:4" x14ac:dyDescent="0.35">
      <c r="B6" t="s">
        <v>219</v>
      </c>
      <c r="C6" s="178" t="s">
        <v>217</v>
      </c>
      <c r="D6" t="s">
        <v>335</v>
      </c>
    </row>
    <row r="7" spans="2:4" x14ac:dyDescent="0.35">
      <c r="B7" t="s">
        <v>220</v>
      </c>
      <c r="C7" s="178" t="s">
        <v>217</v>
      </c>
      <c r="D7" t="s">
        <v>327</v>
      </c>
    </row>
    <row r="8" spans="2:4" x14ac:dyDescent="0.35">
      <c r="B8" t="s">
        <v>233</v>
      </c>
      <c r="C8" s="178" t="s">
        <v>217</v>
      </c>
      <c r="D8" t="s">
        <v>334</v>
      </c>
    </row>
    <row r="9" spans="2:4" x14ac:dyDescent="0.35">
      <c r="B9" t="s">
        <v>222</v>
      </c>
      <c r="C9" s="178" t="s">
        <v>217</v>
      </c>
      <c r="D9" t="s">
        <v>330</v>
      </c>
    </row>
    <row r="10" spans="2:4" x14ac:dyDescent="0.35">
      <c r="B10" t="s">
        <v>234</v>
      </c>
      <c r="C10" s="178" t="s">
        <v>217</v>
      </c>
      <c r="D10" t="s">
        <v>330</v>
      </c>
    </row>
    <row r="11" spans="2:4" x14ac:dyDescent="0.35">
      <c r="B11" t="s">
        <v>225</v>
      </c>
      <c r="C11" s="178" t="s">
        <v>223</v>
      </c>
      <c r="D11" t="s">
        <v>336</v>
      </c>
    </row>
    <row r="12" spans="2:4" x14ac:dyDescent="0.35">
      <c r="B12" t="s">
        <v>320</v>
      </c>
      <c r="C12" s="178" t="s">
        <v>223</v>
      </c>
      <c r="D12" t="s">
        <v>329</v>
      </c>
    </row>
    <row r="13" spans="2:4" x14ac:dyDescent="0.35">
      <c r="B13" t="s">
        <v>338</v>
      </c>
      <c r="C13" s="178" t="s">
        <v>223</v>
      </c>
      <c r="D13" t="s">
        <v>333</v>
      </c>
    </row>
    <row r="14" spans="2:4" x14ac:dyDescent="0.35">
      <c r="B14" t="s">
        <v>226</v>
      </c>
      <c r="C14" s="178" t="s">
        <v>216</v>
      </c>
      <c r="D14" t="s">
        <v>339</v>
      </c>
    </row>
    <row r="15" spans="2:4" x14ac:dyDescent="0.35">
      <c r="B15" t="s">
        <v>227</v>
      </c>
      <c r="C15" s="178" t="s">
        <v>216</v>
      </c>
      <c r="D15" t="s">
        <v>332</v>
      </c>
    </row>
    <row r="16" spans="2:4" x14ac:dyDescent="0.35">
      <c r="B16" t="s">
        <v>228</v>
      </c>
      <c r="C16" s="178" t="s">
        <v>216</v>
      </c>
      <c r="D16" t="s">
        <v>331</v>
      </c>
    </row>
    <row r="17" spans="2:4" x14ac:dyDescent="0.35">
      <c r="B17" t="s">
        <v>230</v>
      </c>
      <c r="C17" s="178" t="s">
        <v>216</v>
      </c>
      <c r="D17" t="s">
        <v>326</v>
      </c>
    </row>
    <row r="18" spans="2:4" x14ac:dyDescent="0.35">
      <c r="B18" t="s">
        <v>229</v>
      </c>
      <c r="C18" s="178" t="s">
        <v>216</v>
      </c>
      <c r="D18" t="s">
        <v>325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7</vt:i4>
      </vt:variant>
    </vt:vector>
  </HeadingPairs>
  <TitlesOfParts>
    <vt:vector size="15" baseType="lpstr">
      <vt:lpstr>Lists</vt:lpstr>
      <vt:lpstr>ROX 2.0 Evaluation</vt:lpstr>
      <vt:lpstr>ROX 2.0 Guide</vt:lpstr>
      <vt:lpstr>Model Line Mapping</vt:lpstr>
      <vt:lpstr>Model Line_Formatted_Print</vt:lpstr>
      <vt:lpstr>Scoring Guidelines</vt:lpstr>
      <vt:lpstr>Action Plan</vt:lpstr>
      <vt:lpstr>Audits</vt:lpstr>
      <vt:lpstr>Business_Unit</vt:lpstr>
      <vt:lpstr>IDB</vt:lpstr>
      <vt:lpstr>LCS</vt:lpstr>
      <vt:lpstr>LVMCC</vt:lpstr>
      <vt:lpstr>LVP</vt:lpstr>
      <vt:lpstr>'Model Line_Formatted_Print'!Print_Area</vt:lpstr>
      <vt:lpstr>'ROX 2.0 Evaluation'!Print_Area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Victor Manuel Gamez Garza</dc:creator>
  <cp:lastModifiedBy>Angel Solis Jimenez</cp:lastModifiedBy>
  <dcterms:created xsi:type="dcterms:W3CDTF">2025-11-04T14:28:19Z</dcterms:created>
  <dcterms:modified xsi:type="dcterms:W3CDTF">2026-01-30T16:20:01Z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14c1950-b3a8-4278-88f1-6df69d73b9d5_Enabled">
    <vt:lpwstr>true</vt:lpwstr>
  </property>
  <property fmtid="{D5CDD505-2E9C-101B-9397-08002B2CF9AE}" pid="3" name="MSIP_Label_e14c1950-b3a8-4278-88f1-6df69d73b9d5_SetDate">
    <vt:lpwstr>2025-11-04T14:28:43Z</vt:lpwstr>
  </property>
  <property fmtid="{D5CDD505-2E9C-101B-9397-08002B2CF9AE}" pid="4" name="MSIP_Label_e14c1950-b3a8-4278-88f1-6df69d73b9d5_Method">
    <vt:lpwstr>Privileged</vt:lpwstr>
  </property>
  <property fmtid="{D5CDD505-2E9C-101B-9397-08002B2CF9AE}" pid="5" name="MSIP_Label_e14c1950-b3a8-4278-88f1-6df69d73b9d5_Name">
    <vt:lpwstr>e14c1950-b3a8-4278-88f1-6df69d73b9d5</vt:lpwstr>
  </property>
  <property fmtid="{D5CDD505-2E9C-101B-9397-08002B2CF9AE}" pid="6" name="MSIP_Label_e14c1950-b3a8-4278-88f1-6df69d73b9d5_SiteId">
    <vt:lpwstr>855b093e-7340-45c7-9f0c-96150415893e</vt:lpwstr>
  </property>
  <property fmtid="{D5CDD505-2E9C-101B-9397-08002B2CF9AE}" pid="7" name="MSIP_Label_e14c1950-b3a8-4278-88f1-6df69d73b9d5_ActionId">
    <vt:lpwstr>1be39783-47d2-4f34-99d8-6ca699c91400</vt:lpwstr>
  </property>
  <property fmtid="{D5CDD505-2E9C-101B-9397-08002B2CF9AE}" pid="8" name="MSIP_Label_e14c1950-b3a8-4278-88f1-6df69d73b9d5_ContentBits">
    <vt:lpwstr>0</vt:lpwstr>
  </property>
  <property fmtid="{D5CDD505-2E9C-101B-9397-08002B2CF9AE}" pid="9" name="MSIP_Label_e14c1950-b3a8-4278-88f1-6df69d73b9d5_Tag">
    <vt:lpwstr>10, 0, 1, 1</vt:lpwstr>
  </property>
</Properties>
</file>